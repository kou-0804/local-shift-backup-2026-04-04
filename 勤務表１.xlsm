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2" codeName="{643B0D74-A683-FBA9-23B4-8A0AA6E0B6B9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/Users/kohei/Downloads/"/>
    </mc:Choice>
  </mc:AlternateContent>
  <xr:revisionPtr revIDLastSave="0" documentId="8_{609397C8-7531-A242-BA93-8596765EED88}" xr6:coauthVersionLast="47" xr6:coauthVersionMax="47" xr10:uidLastSave="{00000000-0000-0000-0000-000000000000}"/>
  <bookViews>
    <workbookView xWindow="4340" yWindow="500" windowWidth="24460" windowHeight="15800" tabRatio="729" xr2:uid="{00000000-000D-0000-FFFF-FFFF00000000}"/>
  </bookViews>
  <sheets>
    <sheet name="最終仕上げシート1" sheetId="31" r:id="rId1"/>
    <sheet name="VBA作業シート" sheetId="23" state="hidden" r:id="rId2"/>
  </sheets>
  <functionGroups builtInGroupCount="19"/>
  <definedNames>
    <definedName name="_xlnm.Print_Area" localSheetId="0">最終仕上げシート1!$A$1:$AK$79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70" i="31" l="1"/>
  <c r="AH69" i="31"/>
  <c r="AH68" i="31"/>
  <c r="AH67" i="31"/>
  <c r="AH66" i="31"/>
  <c r="AH65" i="31"/>
  <c r="AH64" i="31"/>
  <c r="AH63" i="31"/>
  <c r="AH62" i="31"/>
  <c r="AH61" i="31"/>
  <c r="AH60" i="31"/>
  <c r="AH59" i="31"/>
  <c r="AH58" i="31"/>
  <c r="AH57" i="31"/>
  <c r="AH56" i="31"/>
  <c r="AH55" i="31"/>
  <c r="AH54" i="31"/>
  <c r="AH53" i="31"/>
  <c r="AH52" i="31"/>
  <c r="AH51" i="31"/>
  <c r="AH50" i="31"/>
  <c r="AH49" i="31"/>
  <c r="AH48" i="31"/>
  <c r="AH47" i="31"/>
  <c r="AH46" i="31"/>
  <c r="AH45" i="31"/>
  <c r="AH44" i="31"/>
  <c r="AH43" i="31"/>
  <c r="AH42" i="31"/>
  <c r="AH41" i="31"/>
  <c r="AH40" i="31"/>
  <c r="AH39" i="31"/>
  <c r="AH38" i="31"/>
  <c r="AH37" i="31"/>
  <c r="AH36" i="31"/>
  <c r="AH35" i="31"/>
  <c r="AH34" i="31"/>
  <c r="AH33" i="31"/>
  <c r="AH32" i="31"/>
  <c r="AH31" i="31"/>
  <c r="AH30" i="31"/>
  <c r="AH29" i="31"/>
  <c r="AH28" i="31"/>
  <c r="AH27" i="31"/>
  <c r="AH26" i="31"/>
  <c r="AH25" i="31"/>
  <c r="AH24" i="31"/>
  <c r="AH23" i="31"/>
  <c r="AH22" i="31"/>
  <c r="AH21" i="31"/>
  <c r="AH20" i="31"/>
  <c r="AH19" i="31"/>
  <c r="AH18" i="31"/>
  <c r="AH17" i="31"/>
  <c r="AH16" i="31"/>
  <c r="AH15" i="31"/>
  <c r="AH14" i="31"/>
  <c r="AH13" i="31"/>
  <c r="AH12" i="31"/>
  <c r="AH11" i="31"/>
  <c r="AH10" i="31"/>
  <c r="AH9" i="31"/>
  <c r="AH8" i="31"/>
  <c r="AH7" i="31"/>
  <c r="AH6" i="31"/>
  <c r="AH5" i="31"/>
  <c r="AC4" i="31"/>
  <c r="V4" i="31"/>
  <c r="O4" i="31"/>
  <c r="H4" i="31"/>
</calcChain>
</file>

<file path=xl/sharedStrings.xml><?xml version="1.0" encoding="utf-8"?>
<sst xmlns="http://schemas.openxmlformats.org/spreadsheetml/2006/main" count="2140" uniqueCount="322">
  <si>
    <t>技師名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</si>
  <si>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</si>
  <si>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</si>
  <si>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</si>
  <si>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</si>
  <si>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</si>
  <si>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</si>
  <si>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</si>
  <si>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</si>
  <si>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</si>
  <si>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</si>
  <si>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</si>
  <si>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</si>
  <si>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</si>
  <si>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</si>
  <si>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</si>
  <si>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</si>
  <si>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</si>
  <si>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</si>
  <si>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</si>
  <si>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</si>
  <si>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</si>
  <si>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</si>
  <si>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</si>
  <si>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</si>
  <si>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</si>
  <si>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</si>
  <si>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</si>
  <si>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</si>
  <si>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</si>
  <si>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</si>
  <si>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曜日</t>
  </si>
  <si>
    <t>夜</t>
    <rPh sb="0" eb="1">
      <t>ヤ</t>
    </rPh>
    <phoneticPr fontId="2"/>
  </si>
  <si>
    <t>○</t>
    <phoneticPr fontId="2"/>
  </si>
  <si>
    <t>超遅</t>
    <rPh sb="0" eb="1">
      <t>チョウ</t>
    </rPh>
    <rPh sb="1" eb="2">
      <t>オソ</t>
    </rPh>
    <phoneticPr fontId="2"/>
  </si>
  <si>
    <t>ク</t>
    <phoneticPr fontId="2"/>
  </si>
  <si>
    <t>MG</t>
    <phoneticPr fontId="2"/>
  </si>
  <si>
    <t>DR</t>
    <phoneticPr fontId="2"/>
  </si>
  <si>
    <t>CT</t>
    <phoneticPr fontId="2"/>
  </si>
  <si>
    <t>M3</t>
  </si>
  <si>
    <t>M4</t>
  </si>
  <si>
    <t>M5</t>
  </si>
  <si>
    <t>M6</t>
  </si>
  <si>
    <t>M7</t>
    <phoneticPr fontId="2"/>
  </si>
  <si>
    <t>入</t>
    <rPh sb="0" eb="1">
      <t>ニュウ</t>
    </rPh>
    <phoneticPr fontId="2"/>
  </si>
  <si>
    <t>精</t>
    <rPh sb="0" eb="1">
      <t>セイ</t>
    </rPh>
    <phoneticPr fontId="2"/>
  </si>
  <si>
    <t>TV</t>
    <phoneticPr fontId="2"/>
  </si>
  <si>
    <t>OP</t>
  </si>
  <si>
    <t>ポ</t>
    <phoneticPr fontId="2"/>
  </si>
  <si>
    <t>ア</t>
    <phoneticPr fontId="2"/>
  </si>
  <si>
    <t>心</t>
    <rPh sb="0" eb="1">
      <t>シン</t>
    </rPh>
    <phoneticPr fontId="2"/>
  </si>
  <si>
    <t>HB</t>
    <phoneticPr fontId="2"/>
  </si>
  <si>
    <t>病CT</t>
    <phoneticPr fontId="2"/>
  </si>
  <si>
    <t>M0</t>
  </si>
  <si>
    <t>M1</t>
  </si>
  <si>
    <t>M2</t>
  </si>
  <si>
    <t>PET</t>
    <phoneticPr fontId="2"/>
  </si>
  <si>
    <t>RI</t>
    <phoneticPr fontId="2"/>
  </si>
  <si>
    <t>☆</t>
  </si>
  <si>
    <t>石川　和弥</t>
  </si>
  <si>
    <t>矢野　昌男</t>
  </si>
  <si>
    <t>◆</t>
  </si>
  <si>
    <t>関　悟</t>
  </si>
  <si>
    <t>里見　力</t>
  </si>
  <si>
    <t>加藤　義明</t>
  </si>
  <si>
    <t>福田　学</t>
  </si>
  <si>
    <t>河西　佐和子</t>
  </si>
  <si>
    <t>佐藤　和彦</t>
  </si>
  <si>
    <t>勤</t>
  </si>
  <si>
    <t>川向　克茂</t>
  </si>
  <si>
    <t>渡邉　一博</t>
  </si>
  <si>
    <t>須田　章則</t>
  </si>
  <si>
    <t>永井　基博</t>
  </si>
  <si>
    <t>小野　雄一朗</t>
  </si>
  <si>
    <t>池谷　尚人</t>
  </si>
  <si>
    <t>下田　あず沙</t>
  </si>
  <si>
    <t>白倉　知明</t>
  </si>
  <si>
    <t>増田　翔太</t>
  </si>
  <si>
    <t>小川　龍史</t>
  </si>
  <si>
    <t>清水　万慈</t>
  </si>
  <si>
    <t>橋本　圭市</t>
  </si>
  <si>
    <t>原田　勝人</t>
  </si>
  <si>
    <t>☆小</t>
  </si>
  <si>
    <t>箕輪　綱平</t>
  </si>
  <si>
    <t>石井　哲也</t>
  </si>
  <si>
    <t>森　拓磨</t>
  </si>
  <si>
    <t>川名　佑樹</t>
  </si>
  <si>
    <t>大島　七泉</t>
  </si>
  <si>
    <t>児玉　勇輝</t>
  </si>
  <si>
    <t>佐藤　海夢</t>
  </si>
  <si>
    <t>嶋田　帆波</t>
  </si>
  <si>
    <t>祝部　琉海</t>
  </si>
  <si>
    <t>細谷　祐太</t>
  </si>
  <si>
    <t>大村　直輝</t>
  </si>
  <si>
    <t>星　和馬</t>
  </si>
  <si>
    <t>井坂　菜々</t>
  </si>
  <si>
    <t>良本　彩華</t>
  </si>
  <si>
    <t>松井　芙美佳</t>
  </si>
  <si>
    <t>飯塚　陽人</t>
  </si>
  <si>
    <t>佐野　鈴奈</t>
  </si>
  <si>
    <t>斎藤　来夢</t>
  </si>
  <si>
    <t>宮野　拓也</t>
  </si>
  <si>
    <t>平野　迅人</t>
  </si>
  <si>
    <t>田﨑　来実</t>
  </si>
  <si>
    <t>平野　裕理</t>
  </si>
  <si>
    <t>堺　結尋</t>
  </si>
  <si>
    <t>大浦　駿介</t>
  </si>
  <si>
    <t>鈴木　りんか</t>
  </si>
  <si>
    <t>髙谷　ひな</t>
  </si>
  <si>
    <t>野口　愛里彩</t>
  </si>
  <si>
    <t>谷　雄貴</t>
  </si>
  <si>
    <t>中村　友海</t>
  </si>
  <si>
    <t>藤井　華帆</t>
  </si>
  <si>
    <t>牧　智史</t>
  </si>
  <si>
    <t>小出　眞也</t>
  </si>
  <si>
    <t>畠山　秀人</t>
  </si>
  <si>
    <t>友邉　和哉</t>
  </si>
  <si>
    <t>塚田　敦弥</t>
  </si>
  <si>
    <t>池田　侑斗</t>
  </si>
  <si>
    <t>植野　俊</t>
  </si>
  <si>
    <t>高重　光博</t>
  </si>
  <si>
    <t>苅込　真子</t>
  </si>
  <si>
    <t>松本　梓</t>
  </si>
  <si>
    <t>棚町　麻耶</t>
  </si>
  <si>
    <t>佐藤　正哉</t>
  </si>
  <si>
    <t>荒井　美桜</t>
  </si>
  <si>
    <t>今溝　愛海</t>
  </si>
  <si>
    <t>遠藤　健太郎</t>
  </si>
  <si>
    <t>☆</t>
    <phoneticPr fontId="2"/>
  </si>
  <si>
    <t>超遅</t>
  </si>
  <si>
    <t>ク</t>
  </si>
  <si>
    <t>OP</t>
    <phoneticPr fontId="2"/>
  </si>
  <si>
    <t>M0</t>
    <phoneticPr fontId="2"/>
  </si>
  <si>
    <t>M1</t>
    <phoneticPr fontId="2"/>
  </si>
  <si>
    <t>M2</t>
    <phoneticPr fontId="2"/>
  </si>
  <si>
    <t>休</t>
    <phoneticPr fontId="2"/>
  </si>
  <si>
    <t>拘束</t>
    <rPh sb="0" eb="2">
      <t>コウソク</t>
    </rPh>
    <phoneticPr fontId="2"/>
  </si>
  <si>
    <t>病CT</t>
  </si>
  <si>
    <t>M5</t>
    <phoneticPr fontId="2"/>
  </si>
  <si>
    <t>MR</t>
    <phoneticPr fontId="2"/>
  </si>
  <si>
    <t>M4</t>
    <phoneticPr fontId="2"/>
  </si>
  <si>
    <t>M3</t>
    <phoneticPr fontId="2"/>
  </si>
  <si>
    <t>M6</t>
    <phoneticPr fontId="2"/>
  </si>
  <si>
    <t>館山</t>
    <rPh sb="0" eb="2">
      <t>タテヤマ</t>
    </rPh>
    <phoneticPr fontId="2"/>
  </si>
  <si>
    <t>ア</t>
  </si>
  <si>
    <t>病CT</t>
    <rPh sb="0" eb="1">
      <t>ビョウ</t>
    </rPh>
    <phoneticPr fontId="2"/>
  </si>
  <si>
    <t>○</t>
  </si>
  <si>
    <t>佐藤　良祐</t>
  </si>
  <si>
    <t>心</t>
  </si>
  <si>
    <t>ポ</t>
  </si>
  <si>
    <t>（ク）</t>
    <phoneticPr fontId="2"/>
  </si>
  <si>
    <t>（入）</t>
    <rPh sb="1" eb="2">
      <t>ニュウ</t>
    </rPh>
    <phoneticPr fontId="2"/>
  </si>
  <si>
    <t>（ク）</t>
  </si>
  <si>
    <t>放治</t>
    <rPh sb="0" eb="2">
      <t>ホウチ</t>
    </rPh>
    <phoneticPr fontId="2"/>
  </si>
  <si>
    <t>精</t>
  </si>
  <si>
    <t>（CT）</t>
    <phoneticPr fontId="2"/>
  </si>
  <si>
    <t>RI</t>
  </si>
  <si>
    <t>PET</t>
  </si>
  <si>
    <t>放治</t>
  </si>
  <si>
    <t>館山</t>
  </si>
  <si>
    <t>受付</t>
    <rPh sb="0" eb="2">
      <t>ウケツケ</t>
    </rPh>
    <phoneticPr fontId="2"/>
  </si>
  <si>
    <t>病院遅番</t>
    <rPh sb="0" eb="2">
      <t>ビョウイン</t>
    </rPh>
    <rPh sb="2" eb="4">
      <t>オソバン</t>
    </rPh>
    <phoneticPr fontId="2"/>
  </si>
  <si>
    <t>田﨑</t>
    <rPh sb="0" eb="2">
      <t>タサキ</t>
    </rPh>
    <phoneticPr fontId="2"/>
  </si>
  <si>
    <t>鈴木</t>
    <rPh sb="0" eb="2">
      <t>スズキ</t>
    </rPh>
    <phoneticPr fontId="2"/>
  </si>
  <si>
    <t>大浦</t>
    <rPh sb="0" eb="2">
      <t>オオウラ</t>
    </rPh>
    <phoneticPr fontId="2"/>
  </si>
  <si>
    <t>平野迅</t>
    <rPh sb="0" eb="2">
      <t>ヒラノ</t>
    </rPh>
    <rPh sb="2" eb="3">
      <t>ジン</t>
    </rPh>
    <phoneticPr fontId="2"/>
  </si>
  <si>
    <t>堺</t>
    <rPh sb="0" eb="1">
      <t>サカイ</t>
    </rPh>
    <phoneticPr fontId="2"/>
  </si>
  <si>
    <t>髙谷</t>
    <rPh sb="0" eb="2">
      <t>タカヤ</t>
    </rPh>
    <phoneticPr fontId="2"/>
  </si>
  <si>
    <t>大村</t>
    <rPh sb="0" eb="2">
      <t>オオムラ</t>
    </rPh>
    <phoneticPr fontId="2"/>
  </si>
  <si>
    <t>星</t>
    <rPh sb="0" eb="1">
      <t>ホシ</t>
    </rPh>
    <phoneticPr fontId="2"/>
  </si>
  <si>
    <t>飯塚</t>
    <rPh sb="0" eb="2">
      <t>イイヅカ</t>
    </rPh>
    <phoneticPr fontId="2"/>
  </si>
  <si>
    <t>宮野</t>
    <rPh sb="0" eb="2">
      <t>ミヤノ</t>
    </rPh>
    <phoneticPr fontId="2"/>
  </si>
  <si>
    <t>松井</t>
    <rPh sb="0" eb="2">
      <t>マツイ</t>
    </rPh>
    <phoneticPr fontId="2"/>
  </si>
  <si>
    <t>ク遅番</t>
    <rPh sb="1" eb="3">
      <t>オソバン</t>
    </rPh>
    <phoneticPr fontId="2"/>
  </si>
  <si>
    <t>祝部</t>
    <rPh sb="0" eb="2">
      <t>ホオリ</t>
    </rPh>
    <phoneticPr fontId="2"/>
  </si>
  <si>
    <t>良本</t>
    <rPh sb="0" eb="2">
      <t>ヨシモト</t>
    </rPh>
    <phoneticPr fontId="2"/>
  </si>
  <si>
    <t>下田</t>
    <rPh sb="0" eb="2">
      <t>シモダ</t>
    </rPh>
    <phoneticPr fontId="2"/>
  </si>
  <si>
    <t>清水</t>
    <rPh sb="0" eb="2">
      <t>シミズ</t>
    </rPh>
    <phoneticPr fontId="2"/>
  </si>
  <si>
    <t>河西</t>
    <rPh sb="0" eb="2">
      <t>カワニシ</t>
    </rPh>
    <phoneticPr fontId="2"/>
  </si>
  <si>
    <t>ク遅</t>
    <rPh sb="1" eb="2">
      <t>オソ</t>
    </rPh>
    <phoneticPr fontId="2"/>
  </si>
  <si>
    <t>MR遅番</t>
    <rPh sb="2" eb="4">
      <t>オソバン</t>
    </rPh>
    <phoneticPr fontId="2"/>
  </si>
  <si>
    <t>福田</t>
    <rPh sb="0" eb="2">
      <t>フクダ</t>
    </rPh>
    <phoneticPr fontId="2"/>
  </si>
  <si>
    <t>橋本</t>
    <rPh sb="0" eb="2">
      <t>ハシモト</t>
    </rPh>
    <phoneticPr fontId="2"/>
  </si>
  <si>
    <t>渡邉</t>
    <rPh sb="0" eb="2">
      <t>ワタナベ</t>
    </rPh>
    <phoneticPr fontId="2"/>
  </si>
  <si>
    <t>川名</t>
    <rPh sb="0" eb="2">
      <t>カワナ</t>
    </rPh>
    <phoneticPr fontId="2"/>
  </si>
  <si>
    <t>白倉</t>
    <rPh sb="0" eb="2">
      <t>シラクラ</t>
    </rPh>
    <phoneticPr fontId="2"/>
  </si>
  <si>
    <t>第1拘束</t>
    <rPh sb="0" eb="1">
      <t>ダイ</t>
    </rPh>
    <rPh sb="2" eb="4">
      <t>コウソク</t>
    </rPh>
    <phoneticPr fontId="2"/>
  </si>
  <si>
    <t>小川</t>
    <rPh sb="0" eb="2">
      <t>オガワ</t>
    </rPh>
    <phoneticPr fontId="2"/>
  </si>
  <si>
    <t>須田</t>
    <rPh sb="0" eb="2">
      <t>スダ</t>
    </rPh>
    <phoneticPr fontId="2"/>
  </si>
  <si>
    <t>大島</t>
    <rPh sb="0" eb="2">
      <t>オオシマ</t>
    </rPh>
    <phoneticPr fontId="2"/>
  </si>
  <si>
    <t>佐藤海</t>
    <rPh sb="0" eb="2">
      <t>サトウ</t>
    </rPh>
    <rPh sb="2" eb="3">
      <t>ウミ</t>
    </rPh>
    <phoneticPr fontId="2"/>
  </si>
  <si>
    <t>１拘</t>
    <rPh sb="1" eb="2">
      <t>コウ</t>
    </rPh>
    <phoneticPr fontId="2"/>
  </si>
  <si>
    <t>第2拘束</t>
    <rPh sb="0" eb="1">
      <t>ダイ</t>
    </rPh>
    <rPh sb="2" eb="4">
      <t>コウソク</t>
    </rPh>
    <phoneticPr fontId="2"/>
  </si>
  <si>
    <t>原田</t>
    <rPh sb="0" eb="2">
      <t>ハラダ</t>
    </rPh>
    <phoneticPr fontId="2"/>
  </si>
  <si>
    <t>佐藤和</t>
    <rPh sb="0" eb="2">
      <t>サトウ</t>
    </rPh>
    <rPh sb="2" eb="3">
      <t>カズ</t>
    </rPh>
    <phoneticPr fontId="2"/>
  </si>
  <si>
    <t>児玉</t>
    <rPh sb="0" eb="2">
      <t>コダマ</t>
    </rPh>
    <phoneticPr fontId="2"/>
  </si>
  <si>
    <t>川向</t>
    <rPh sb="0" eb="2">
      <t>カワムカイ</t>
    </rPh>
    <phoneticPr fontId="2"/>
  </si>
  <si>
    <t>箕輪</t>
    <rPh sb="0" eb="2">
      <t>ミノワ</t>
    </rPh>
    <phoneticPr fontId="2"/>
  </si>
  <si>
    <t>永井</t>
    <rPh sb="0" eb="2">
      <t>ナガイ</t>
    </rPh>
    <phoneticPr fontId="2"/>
  </si>
  <si>
    <t>２拘</t>
    <rPh sb="1" eb="2">
      <t>コウ</t>
    </rPh>
    <phoneticPr fontId="2"/>
  </si>
  <si>
    <t>RI拘束</t>
    <rPh sb="2" eb="4">
      <t>コウソク</t>
    </rPh>
    <phoneticPr fontId="2"/>
  </si>
  <si>
    <t>池田</t>
    <rPh sb="0" eb="2">
      <t>イケダ</t>
    </rPh>
    <phoneticPr fontId="2"/>
  </si>
  <si>
    <t>畠山</t>
    <rPh sb="0" eb="2">
      <t>ハタケヤマ</t>
    </rPh>
    <phoneticPr fontId="2"/>
  </si>
  <si>
    <t>小出</t>
    <rPh sb="0" eb="2">
      <t>コイデ</t>
    </rPh>
    <phoneticPr fontId="2"/>
  </si>
  <si>
    <t>小出</t>
  </si>
  <si>
    <t>友邉</t>
    <rPh sb="0" eb="2">
      <t>トモベ</t>
    </rPh>
    <phoneticPr fontId="2"/>
  </si>
  <si>
    <t>HB対応</t>
    <rPh sb="2" eb="4">
      <t>タイオウ</t>
    </rPh>
    <phoneticPr fontId="2"/>
  </si>
  <si>
    <t>夜勤者</t>
    <rPh sb="0" eb="2">
      <t>ヤキン</t>
    </rPh>
    <rPh sb="2" eb="3">
      <t>シャ</t>
    </rPh>
    <phoneticPr fontId="2"/>
  </si>
  <si>
    <t>夜勤者</t>
  </si>
  <si>
    <t>拘束者</t>
    <rPh sb="0" eb="3">
      <t>コウソクシャ</t>
    </rPh>
    <phoneticPr fontId="2"/>
  </si>
  <si>
    <t>全麻下血管内治療</t>
    <rPh sb="0" eb="2">
      <t>ゼンマ</t>
    </rPh>
    <rPh sb="2" eb="3">
      <t>シタ</t>
    </rPh>
    <rPh sb="3" eb="6">
      <t>ケッカンナイ</t>
    </rPh>
    <rPh sb="6" eb="8">
      <t>チリョウ</t>
    </rPh>
    <phoneticPr fontId="2"/>
  </si>
  <si>
    <t>今月分</t>
    <rPh sb="0" eb="3">
      <t>コンゲツブン</t>
    </rPh>
    <phoneticPr fontId="2"/>
  </si>
  <si>
    <t>業務拡大</t>
    <rPh sb="0" eb="2">
      <t>ギョウム</t>
    </rPh>
    <rPh sb="2" eb="4">
      <t>カクダイ</t>
    </rPh>
    <phoneticPr fontId="2"/>
  </si>
  <si>
    <t>コメント欄</t>
    <rPh sb="4" eb="5">
      <t>ラン</t>
    </rPh>
    <phoneticPr fontId="2"/>
  </si>
  <si>
    <t>山口　美緖</t>
  </si>
  <si>
    <t>一般</t>
    <rPh sb="0" eb="2">
      <t>イッパン</t>
    </rPh>
    <phoneticPr fontId="2"/>
  </si>
  <si>
    <t>MG</t>
  </si>
  <si>
    <t>DR</t>
  </si>
  <si>
    <t>CT</t>
  </si>
  <si>
    <t>M7</t>
  </si>
  <si>
    <t>HB</t>
  </si>
  <si>
    <t>業出</t>
    <rPh sb="0" eb="1">
      <t>ギョウ</t>
    </rPh>
    <rPh sb="1" eb="2">
      <t>シュツ</t>
    </rPh>
    <phoneticPr fontId="2"/>
  </si>
  <si>
    <t>☆デ</t>
  </si>
  <si>
    <t>★連</t>
  </si>
  <si>
    <t>休</t>
  </si>
  <si>
    <t>（CT）</t>
  </si>
  <si>
    <t>超遅番</t>
    <rPh sb="0" eb="1">
      <t>チョウ</t>
    </rPh>
    <rPh sb="1" eb="3">
      <t>オソバン</t>
    </rPh>
    <phoneticPr fontId="2"/>
  </si>
  <si>
    <t>ク問診</t>
  </si>
  <si>
    <t>金</t>
    <rPh sb="0" eb="1">
      <t>キン</t>
    </rPh>
    <phoneticPr fontId="2"/>
  </si>
  <si>
    <t>日</t>
    <rPh sb="0" eb="1">
      <t>ニチ</t>
    </rPh>
    <phoneticPr fontId="2"/>
  </si>
  <si>
    <t>月</t>
    <rPh sb="0" eb="1">
      <t>ゲツ</t>
    </rPh>
    <phoneticPr fontId="2"/>
  </si>
  <si>
    <t>火</t>
    <rPh sb="0" eb="1">
      <t>ヒ</t>
    </rPh>
    <phoneticPr fontId="2"/>
  </si>
  <si>
    <t>木</t>
    <rPh sb="0" eb="1">
      <t>モク</t>
    </rPh>
    <phoneticPr fontId="2"/>
  </si>
  <si>
    <t>水</t>
    <rPh sb="0" eb="1">
      <t>スイ</t>
    </rPh>
    <phoneticPr fontId="2"/>
  </si>
  <si>
    <t>京橋</t>
    <rPh sb="0" eb="2">
      <t>キョウバシ</t>
    </rPh>
    <phoneticPr fontId="2"/>
  </si>
  <si>
    <t>細谷菜</t>
    <rPh sb="0" eb="2">
      <t>ホソヤ</t>
    </rPh>
    <rPh sb="2" eb="3">
      <t>ナ</t>
    </rPh>
    <phoneticPr fontId="2"/>
  </si>
  <si>
    <t>斎藤</t>
    <rPh sb="0" eb="2">
      <t>サイトウ</t>
    </rPh>
    <phoneticPr fontId="2"/>
  </si>
  <si>
    <t>石井</t>
    <rPh sb="0" eb="2">
      <t>イシイ</t>
    </rPh>
    <phoneticPr fontId="2"/>
  </si>
  <si>
    <t>細谷祐</t>
    <rPh sb="0" eb="2">
      <t>ホソヤ</t>
    </rPh>
    <rPh sb="2" eb="3">
      <t>ユウ</t>
    </rPh>
    <phoneticPr fontId="2"/>
  </si>
  <si>
    <t>児玉→清水→佐藤和→池谷→松本（夜勤・拘束者に対応できるものがいない場合）</t>
    <rPh sb="0" eb="2">
      <t>コダマ</t>
    </rPh>
    <rPh sb="3" eb="5">
      <t>シミズ</t>
    </rPh>
    <rPh sb="6" eb="8">
      <t>サトウ</t>
    </rPh>
    <rPh sb="8" eb="9">
      <t>カズ</t>
    </rPh>
    <rPh sb="10" eb="12">
      <t>イケタニ</t>
    </rPh>
    <rPh sb="13" eb="15">
      <t>マツモト</t>
    </rPh>
    <rPh sb="16" eb="18">
      <t>ヤキン</t>
    </rPh>
    <rPh sb="19" eb="22">
      <t>コウソクシャ</t>
    </rPh>
    <rPh sb="23" eb="25">
      <t>タイオウ</t>
    </rPh>
    <rPh sb="34" eb="36">
      <t>バアイ</t>
    </rPh>
    <phoneticPr fontId="2"/>
  </si>
  <si>
    <t>畠山</t>
  </si>
  <si>
    <t>病遅</t>
    <rPh sb="0" eb="1">
      <t>ビョウ</t>
    </rPh>
    <rPh sb="1" eb="2">
      <t>オソ</t>
    </rPh>
    <phoneticPr fontId="2"/>
  </si>
  <si>
    <t>MR遅</t>
    <rPh sb="2" eb="3">
      <t>オソ</t>
    </rPh>
    <phoneticPr fontId="2"/>
  </si>
  <si>
    <t>全会</t>
  </si>
  <si>
    <t>細谷　菜々</t>
  </si>
  <si>
    <t>勤務表番号</t>
    <phoneticPr fontId="2"/>
  </si>
  <si>
    <t>出</t>
  </si>
  <si>
    <t>加藤　光久</t>
    <phoneticPr fontId="2"/>
  </si>
  <si>
    <t>（MG）</t>
    <phoneticPr fontId="2"/>
  </si>
  <si>
    <t>ク17業</t>
    <phoneticPr fontId="2"/>
  </si>
  <si>
    <t>▲：慶弔休暇　★：有休　☆：指定休・代休　◆：育児休暇、産休、病欠、結婚休暇</t>
    <rPh sb="2" eb="4">
      <t>ケイチョウ</t>
    </rPh>
    <rPh sb="4" eb="6">
      <t>キュウカ</t>
    </rPh>
    <rPh sb="9" eb="11">
      <t>ユウキュウ</t>
    </rPh>
    <rPh sb="14" eb="16">
      <t>シテイ</t>
    </rPh>
    <rPh sb="16" eb="17">
      <t>キュウ</t>
    </rPh>
    <rPh sb="18" eb="20">
      <t>ダイキュウ</t>
    </rPh>
    <rPh sb="23" eb="25">
      <t>イクジ</t>
    </rPh>
    <rPh sb="25" eb="27">
      <t>キュウカ</t>
    </rPh>
    <rPh sb="28" eb="30">
      <t>サンキュウ</t>
    </rPh>
    <rPh sb="31" eb="33">
      <t>ビョウケツ</t>
    </rPh>
    <rPh sb="34" eb="36">
      <t>ケッコン</t>
    </rPh>
    <rPh sb="36" eb="38">
      <t>キュウカ</t>
    </rPh>
    <phoneticPr fontId="2"/>
  </si>
  <si>
    <t>植野</t>
    <rPh sb="0" eb="2">
      <t>ウエノ</t>
    </rPh>
    <phoneticPr fontId="2"/>
  </si>
  <si>
    <t>平野裕</t>
    <rPh sb="0" eb="2">
      <t>ヒラノ</t>
    </rPh>
    <rPh sb="2" eb="3">
      <t>ユウ</t>
    </rPh>
    <phoneticPr fontId="2"/>
  </si>
  <si>
    <t>中村</t>
    <rPh sb="0" eb="2">
      <t>ナカムラ</t>
    </rPh>
    <phoneticPr fontId="2"/>
  </si>
  <si>
    <t>野口</t>
    <rPh sb="0" eb="2">
      <t>ノグチ</t>
    </rPh>
    <phoneticPr fontId="2"/>
  </si>
  <si>
    <t>一般</t>
  </si>
  <si>
    <t>夜</t>
  </si>
  <si>
    <t>入</t>
  </si>
  <si>
    <t>（放治）</t>
  </si>
  <si>
    <t>（放治）</t>
    <rPh sb="1" eb="3">
      <t>ホウチ</t>
    </rPh>
    <phoneticPr fontId="2"/>
  </si>
  <si>
    <t>（ポ）</t>
  </si>
  <si>
    <t>（ポ）</t>
    <phoneticPr fontId="2"/>
  </si>
  <si>
    <t>（ク）/内</t>
    <rPh sb="4" eb="5">
      <t>ナイ</t>
    </rPh>
    <phoneticPr fontId="2"/>
  </si>
  <si>
    <t>（TV）</t>
  </si>
  <si>
    <t>（TV）</t>
    <phoneticPr fontId="2"/>
  </si>
  <si>
    <t>CT/内</t>
    <rPh sb="3" eb="4">
      <t>ナイ</t>
    </rPh>
    <phoneticPr fontId="2"/>
  </si>
  <si>
    <t>病CT/</t>
    <rPh sb="0" eb="1">
      <t>ビョウ</t>
    </rPh>
    <phoneticPr fontId="2"/>
  </si>
  <si>
    <t>◆</t>
    <phoneticPr fontId="2"/>
  </si>
  <si>
    <t>塚田</t>
    <rPh sb="0" eb="2">
      <t>ツカダ</t>
    </rPh>
    <phoneticPr fontId="2"/>
  </si>
  <si>
    <t>16AG</t>
    <phoneticPr fontId="2"/>
  </si>
  <si>
    <t>5AG</t>
    <phoneticPr fontId="2"/>
  </si>
  <si>
    <t>勤</t>
    <rPh sb="0" eb="1">
      <t>ツトム</t>
    </rPh>
    <phoneticPr fontId="2"/>
  </si>
  <si>
    <t>嶋田　帆波</t>
    <rPh sb="0" eb="2">
      <t>シマダ</t>
    </rPh>
    <rPh sb="3" eb="5">
      <t>ホナミ</t>
    </rPh>
    <phoneticPr fontId="2"/>
  </si>
  <si>
    <t>研(聴)</t>
  </si>
  <si>
    <t>夜</t>
    <phoneticPr fontId="2"/>
  </si>
  <si>
    <t>M517休</t>
    <phoneticPr fontId="2"/>
  </si>
  <si>
    <t>超遅</t>
    <phoneticPr fontId="2"/>
  </si>
  <si>
    <t>（救OP）</t>
  </si>
  <si>
    <t>（救OP）</t>
    <rPh sb="1" eb="2">
      <t>キュウ</t>
    </rPh>
    <phoneticPr fontId="2"/>
  </si>
  <si>
    <t>（ク）/内</t>
  </si>
  <si>
    <t>病CT/内</t>
    <rPh sb="0" eb="1">
      <t>ビョウ</t>
    </rPh>
    <phoneticPr fontId="2"/>
  </si>
  <si>
    <t>ク（MG）</t>
    <phoneticPr fontId="2"/>
  </si>
  <si>
    <t>ク/講</t>
    <phoneticPr fontId="2"/>
  </si>
  <si>
    <t>病CT/講</t>
    <rPh sb="0" eb="1">
      <t>ビョウ</t>
    </rPh>
    <phoneticPr fontId="2"/>
  </si>
  <si>
    <t>CT/（発）</t>
    <rPh sb="4" eb="5">
      <t>ハツ</t>
    </rPh>
    <phoneticPr fontId="2"/>
  </si>
  <si>
    <t>M2/</t>
    <phoneticPr fontId="2"/>
  </si>
  <si>
    <t>全会/</t>
    <phoneticPr fontId="2"/>
  </si>
  <si>
    <t>ク/</t>
    <phoneticPr fontId="2"/>
  </si>
  <si>
    <t>入/講</t>
    <phoneticPr fontId="2"/>
  </si>
  <si>
    <t>ク/（CT）</t>
    <phoneticPr fontId="2"/>
  </si>
  <si>
    <t>ク問診</t>
    <rPh sb="1" eb="3">
      <t>モンシン</t>
    </rPh>
    <phoneticPr fontId="2"/>
  </si>
  <si>
    <t>P/</t>
    <phoneticPr fontId="2"/>
  </si>
  <si>
    <t>嶋田</t>
    <rPh sb="0" eb="2">
      <t>シマダ</t>
    </rPh>
    <phoneticPr fontId="2"/>
  </si>
  <si>
    <t>平野裕</t>
    <rPh sb="0" eb="2">
      <t>ヒラノ</t>
    </rPh>
    <phoneticPr fontId="2"/>
  </si>
  <si>
    <t>水</t>
    <rPh sb="0" eb="1">
      <t>ミズ</t>
    </rPh>
    <phoneticPr fontId="2"/>
  </si>
  <si>
    <t>緊招</t>
    <rPh sb="0" eb="1">
      <t>キン</t>
    </rPh>
    <rPh sb="1" eb="2">
      <t>ショウ</t>
    </rPh>
    <phoneticPr fontId="2"/>
  </si>
  <si>
    <t>池谷</t>
    <rPh sb="0" eb="2">
      <t>イケタニ</t>
    </rPh>
    <phoneticPr fontId="2"/>
  </si>
  <si>
    <t>増田</t>
    <rPh sb="0" eb="2">
      <t>マスダ</t>
    </rPh>
    <phoneticPr fontId="2"/>
  </si>
  <si>
    <t>画 像 診 断 室  2025年12月 勤 務 分 担 表</t>
    <phoneticPr fontId="2"/>
  </si>
  <si>
    <t>公休：4</t>
    <rPh sb="0" eb="2">
      <t>コウキュウ</t>
    </rPh>
    <phoneticPr fontId="2"/>
  </si>
  <si>
    <t>細谷</t>
    <phoneticPr fontId="2"/>
  </si>
  <si>
    <t>宮野</t>
  </si>
  <si>
    <t>心</t>
    <phoneticPr fontId="2"/>
  </si>
  <si>
    <t>放/講</t>
    <rPh sb="0" eb="1">
      <t>ホウ</t>
    </rPh>
    <phoneticPr fontId="2"/>
  </si>
  <si>
    <t>放/</t>
    <phoneticPr fontId="2"/>
  </si>
  <si>
    <t>放/講</t>
    <phoneticPr fontId="2"/>
  </si>
  <si>
    <t>病CT/監</t>
    <rPh sb="4" eb="5">
      <t>カン</t>
    </rPh>
    <phoneticPr fontId="2"/>
  </si>
  <si>
    <t>M6/監</t>
    <phoneticPr fontId="2"/>
  </si>
  <si>
    <t>病CT/監</t>
    <rPh sb="0" eb="1">
      <t>ビョウ</t>
    </rPh>
    <phoneticPr fontId="2"/>
  </si>
  <si>
    <t>精</t>
    <phoneticPr fontId="2"/>
  </si>
  <si>
    <t>CT/監</t>
    <rPh sb="3" eb="4">
      <t>カン</t>
    </rPh>
    <phoneticPr fontId="2"/>
  </si>
  <si>
    <t>M7/監</t>
    <phoneticPr fontId="2"/>
  </si>
  <si>
    <t>DR/監</t>
    <phoneticPr fontId="2"/>
  </si>
  <si>
    <t>M4/監</t>
    <phoneticPr fontId="2"/>
  </si>
  <si>
    <t>ク/監</t>
    <phoneticPr fontId="2"/>
  </si>
  <si>
    <t>RI/監</t>
    <rPh sb="3" eb="4">
      <t>カン</t>
    </rPh>
    <phoneticPr fontId="2"/>
  </si>
  <si>
    <t>P/監</t>
    <rPh sb="2" eb="3">
      <t>カン</t>
    </rPh>
    <phoneticPr fontId="2"/>
  </si>
  <si>
    <r>
      <rPr>
        <sz val="48"/>
        <rFont val="ＭＳ Ｐゴシック"/>
        <family val="3"/>
        <charset val="128"/>
        <scheme val="minor"/>
      </rPr>
      <t>病CT/</t>
    </r>
    <r>
      <rPr>
        <sz val="48"/>
        <color theme="1"/>
        <rFont val="ＭＳ Ｐゴシック"/>
        <family val="3"/>
        <charset val="128"/>
        <scheme val="minor"/>
      </rPr>
      <t>☆</t>
    </r>
    <rPh sb="0" eb="1">
      <t>ビョウ</t>
    </rPh>
    <phoneticPr fontId="2"/>
  </si>
  <si>
    <t>全会</t>
    <rPh sb="0" eb="1">
      <t>ゼン</t>
    </rPh>
    <rPh sb="1" eb="2">
      <t>カイ</t>
    </rPh>
    <phoneticPr fontId="2"/>
  </si>
  <si>
    <t>JPTEC</t>
  </si>
  <si>
    <t>JPTEC</t>
    <phoneticPr fontId="2"/>
  </si>
  <si>
    <r>
      <rPr>
        <u/>
        <sz val="48"/>
        <color rgb="FFFF0000"/>
        <rFont val="ＭＳ Ｐゴシック"/>
        <family val="3"/>
        <charset val="128"/>
      </rPr>
      <t xml:space="preserve">医療監視
（クリニック）
</t>
    </r>
    <r>
      <rPr>
        <sz val="48"/>
        <rFont val="ＭＳ Ｐゴシック"/>
        <family val="3"/>
        <charset val="128"/>
      </rPr>
      <t>１日PM</t>
    </r>
    <r>
      <rPr>
        <u/>
        <sz val="48"/>
        <color rgb="FFFF0000"/>
        <rFont val="ＭＳ Ｐゴシック"/>
        <family val="3"/>
        <charset val="128"/>
      </rPr>
      <t xml:space="preserve">
医療監視
（病院）</t>
    </r>
    <r>
      <rPr>
        <sz val="48"/>
        <color indexed="8"/>
        <rFont val="ＭＳ Ｐゴシック"/>
        <family val="3"/>
        <charset val="128"/>
      </rPr>
      <t xml:space="preserve">
3日PM
</t>
    </r>
    <r>
      <rPr>
        <u/>
        <sz val="48"/>
        <color rgb="FFFF0000"/>
        <rFont val="ＭＳ Ｐゴシック"/>
        <family val="3"/>
        <charset val="128"/>
      </rPr>
      <t>医療監視
（リハ病院）</t>
    </r>
    <r>
      <rPr>
        <sz val="48"/>
        <color indexed="8"/>
        <rFont val="ＭＳ Ｐゴシック"/>
        <family val="3"/>
        <charset val="128"/>
      </rPr>
      <t xml:space="preserve">
10日PM
</t>
    </r>
    <r>
      <rPr>
        <u/>
        <sz val="48"/>
        <color rgb="FFFF0000"/>
        <rFont val="ＭＳ Ｐゴシック"/>
        <family val="3"/>
        <charset val="128"/>
      </rPr>
      <t xml:space="preserve">火災訓練
</t>
    </r>
    <r>
      <rPr>
        <sz val="48"/>
        <color indexed="8"/>
        <rFont val="ＭＳ Ｐゴシック"/>
        <family val="3"/>
        <charset val="128"/>
      </rPr>
      <t xml:space="preserve">10日
</t>
    </r>
    <r>
      <rPr>
        <u/>
        <sz val="48"/>
        <color rgb="FFFF0000"/>
        <rFont val="ＭＳ Ｐゴシック"/>
        <family val="3"/>
        <charset val="128"/>
      </rPr>
      <t>放射線管理委員会
合同開催</t>
    </r>
    <r>
      <rPr>
        <sz val="48"/>
        <color indexed="8"/>
        <rFont val="ＭＳ Ｐゴシック"/>
        <family val="3"/>
        <charset val="128"/>
      </rPr>
      <t xml:space="preserve">
11日PM
</t>
    </r>
    <r>
      <rPr>
        <u/>
        <sz val="48"/>
        <color rgb="FFFF0000"/>
        <rFont val="ＭＳ Ｐゴシック"/>
        <family val="3"/>
        <charset val="128"/>
      </rPr>
      <t>画像忘年会</t>
    </r>
    <r>
      <rPr>
        <sz val="48"/>
        <color indexed="8"/>
        <rFont val="ＭＳ Ｐゴシック"/>
        <family val="3"/>
        <charset val="128"/>
      </rPr>
      <t xml:space="preserve">
17日
</t>
    </r>
    <r>
      <rPr>
        <u/>
        <sz val="48"/>
        <color rgb="FFFF0000"/>
        <rFont val="ＭＳ Ｐゴシック"/>
        <family val="3"/>
        <charset val="128"/>
      </rPr>
      <t>勤務表合わせ</t>
    </r>
    <r>
      <rPr>
        <sz val="48"/>
        <color indexed="8"/>
        <rFont val="ＭＳ Ｐゴシック"/>
        <family val="3"/>
        <charset val="128"/>
      </rPr>
      <t xml:space="preserve">
23日
</t>
    </r>
    <r>
      <rPr>
        <u/>
        <sz val="48"/>
        <color rgb="FFFF0000"/>
        <rFont val="ＭＳ Ｐゴシック"/>
        <family val="3"/>
        <charset val="128"/>
      </rPr>
      <t>主任会</t>
    </r>
    <r>
      <rPr>
        <sz val="48"/>
        <color indexed="8"/>
        <rFont val="ＭＳ Ｐゴシック"/>
        <family val="3"/>
        <charset val="128"/>
      </rPr>
      <t xml:space="preserve">
23日</t>
    </r>
    <rPh sb="0" eb="2">
      <t>イリョウ</t>
    </rPh>
    <rPh sb="2" eb="4">
      <t>カンシ</t>
    </rPh>
    <rPh sb="14" eb="15">
      <t>ニチ</t>
    </rPh>
    <rPh sb="19" eb="21">
      <t>イリョウ</t>
    </rPh>
    <rPh sb="21" eb="23">
      <t>カンシ</t>
    </rPh>
    <rPh sb="25" eb="27">
      <t>ビョウイン</t>
    </rPh>
    <rPh sb="30" eb="31">
      <t>ニチ</t>
    </rPh>
    <rPh sb="37" eb="39">
      <t>カンシ</t>
    </rPh>
    <rPh sb="49" eb="50">
      <t>ニチ</t>
    </rPh>
    <rPh sb="61" eb="62">
      <t>ニチ</t>
    </rPh>
    <rPh sb="75" eb="77">
      <t>カイサイ</t>
    </rPh>
    <rPh sb="85" eb="87">
      <t>ガゾウ</t>
    </rPh>
    <rPh sb="87" eb="90">
      <t>ボウネンカイ</t>
    </rPh>
    <rPh sb="93" eb="94">
      <t>ニチ</t>
    </rPh>
    <rPh sb="96" eb="98">
      <t>キンム</t>
    </rPh>
    <rPh sb="98" eb="99">
      <t>ヒョウ</t>
    </rPh>
    <rPh sb="99" eb="100">
      <t>ア</t>
    </rPh>
    <rPh sb="105" eb="106">
      <t>ニチ</t>
    </rPh>
    <rPh sb="108" eb="110">
      <t>シュニン</t>
    </rPh>
    <rPh sb="110" eb="111">
      <t>カイ</t>
    </rPh>
    <rPh sb="114" eb="115">
      <t>ニチ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</si>
</sst>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30"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sz val="28"/>
      <color indexed="8"/>
      <name val="ＭＳ Ｐゴシック"/>
      <family val="3"/>
      <charset val="128"/>
    </font>
    <font>
      <sz val="28"/>
      <color theme="1"/>
      <name val="ＭＳ Ｐゴシック"/>
      <family val="3"/>
      <charset val="128"/>
      <scheme val="minor"/>
    </font>
    <font>
      <sz val="28"/>
      <name val="ＭＳ Ｐゴシック"/>
      <family val="3"/>
      <charset val="128"/>
      <scheme val="minor"/>
    </font>
    <font>
      <sz val="36"/>
      <color theme="1"/>
      <name val="ＭＳ Ｐゴシック"/>
      <family val="3"/>
      <charset val="128"/>
      <scheme val="minor"/>
    </font>
    <font>
      <sz val="36"/>
      <name val="ＭＳ Ｐゴシック"/>
      <family val="3"/>
      <charset val="128"/>
      <scheme val="minor"/>
    </font>
    <font>
      <sz val="18"/>
      <color theme="1"/>
      <name val="ＭＳ Ｐゴシック"/>
      <family val="2"/>
      <charset val="128"/>
      <scheme val="minor"/>
    </font>
    <font>
      <sz val="28"/>
      <color theme="1"/>
      <name val="ＭＳ Ｐゴシック"/>
      <family val="2"/>
      <charset val="128"/>
      <scheme val="minor"/>
    </font>
    <font>
      <sz val="36"/>
      <color theme="1"/>
      <name val="ＭＳ Ｐゴシック"/>
      <family val="2"/>
      <charset val="128"/>
      <scheme val="minor"/>
    </font>
    <font>
      <sz val="36"/>
      <color indexed="8"/>
      <name val="ＭＳ Ｐゴシック"/>
      <family val="3"/>
      <charset val="128"/>
    </font>
    <font>
      <sz val="24"/>
      <color indexed="8"/>
      <name val="ＭＳ Ｐゴシック"/>
      <family val="3"/>
      <charset val="128"/>
    </font>
    <font>
      <b/>
      <sz val="80"/>
      <name val="ＭＳ Ｐゴシック"/>
      <family val="3"/>
      <charset val="128"/>
      <scheme val="minor"/>
    </font>
    <font>
      <sz val="48"/>
      <color indexed="8"/>
      <name val="ＭＳ Ｐゴシック"/>
      <family val="3"/>
      <charset val="128"/>
    </font>
    <font>
      <sz val="48"/>
      <color theme="1"/>
      <name val="ＭＳ Ｐゴシック"/>
      <family val="3"/>
      <charset val="128"/>
      <scheme val="minor"/>
    </font>
    <font>
      <sz val="48"/>
      <name val="ＭＳ Ｐゴシック"/>
      <family val="3"/>
      <charset val="128"/>
      <scheme val="minor"/>
    </font>
    <font>
      <sz val="48"/>
      <color theme="0"/>
      <name val="ＭＳ Ｐゴシック"/>
      <family val="3"/>
      <charset val="128"/>
      <scheme val="minor"/>
    </font>
    <font>
      <u/>
      <sz val="48"/>
      <name val="ＭＳ Ｐゴシック"/>
      <family val="3"/>
      <charset val="128"/>
      <scheme val="minor"/>
    </font>
    <font>
      <u/>
      <sz val="48"/>
      <color theme="0"/>
      <name val="ＭＳ Ｐゴシック"/>
      <family val="3"/>
      <charset val="128"/>
      <scheme val="minor"/>
    </font>
    <font>
      <sz val="48"/>
      <name val="ＭＳ Ｐゴシック"/>
      <family val="3"/>
      <charset val="128"/>
    </font>
    <font>
      <u/>
      <sz val="48"/>
      <color rgb="FFFF0000"/>
      <name val="ＭＳ Ｐゴシック"/>
      <family val="3"/>
      <charset val="128"/>
    </font>
    <font>
      <b/>
      <sz val="48"/>
      <color theme="1"/>
      <name val="ＭＳ Ｐゴシック"/>
      <family val="3"/>
      <charset val="128"/>
      <scheme val="minor"/>
    </font>
    <font>
      <sz val="48"/>
      <color theme="0"/>
      <name val="ＭＳ Ｐゴシック"/>
      <family val="3"/>
      <charset val="128"/>
    </font>
    <font>
      <sz val="48"/>
      <color rgb="FFFFFFFF"/>
      <name val="ＭＳ Ｐゴシック"/>
      <family val="3"/>
      <charset val="128"/>
    </font>
    <font>
      <sz val="48"/>
      <color theme="1"/>
      <name val="ＭＳ Ｐゴシック"/>
      <family val="3"/>
      <charset val="128"/>
    </font>
    <font>
      <u/>
      <sz val="48"/>
      <color theme="1"/>
      <name val="ＭＳ Ｐゴシック"/>
      <family val="3"/>
      <charset val="128"/>
      <scheme val="minor"/>
    </font>
    <font>
      <u/>
      <sz val="48"/>
      <color theme="0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C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</borders>
  <cellStyleXfs count="6">
    <xf numFmtId="0" fontId="0" fillId="0" borderId="0">
      <alignment vertical="center"/>
    </xf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87">
    <xf numFmtId="0" fontId="0" fillId="0" borderId="0" xfId="0">
      <alignment vertical="center"/>
    </xf>
    <xf numFmtId="0" fontId="4" fillId="0" borderId="0" xfId="0" applyFont="1">
      <alignment vertical="center"/>
    </xf>
    <xf numFmtId="14" fontId="0" fillId="0" borderId="0" xfId="0" applyNumberFormat="1">
      <alignment vertical="center"/>
    </xf>
    <xf numFmtId="0" fontId="0" fillId="0" borderId="5" xfId="0" applyBorder="1">
      <alignment vertical="center"/>
    </xf>
    <xf numFmtId="0" fontId="0" fillId="0" borderId="0" xfId="0" applyAlignment="1">
      <alignment horizontal="center" vertical="center"/>
    </xf>
    <xf numFmtId="0" fontId="5" fillId="2" borderId="1" xfId="2" applyFont="1" applyFill="1" applyBorder="1" applyAlignment="1">
      <alignment horizontal="center" vertical="center" shrinkToFit="1"/>
    </xf>
    <xf numFmtId="0" fontId="5" fillId="0" borderId="1" xfId="3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76" fontId="7" fillId="0" borderId="0" xfId="0" applyNumberFormat="1" applyFont="1" applyAlignment="1">
      <alignment vertical="center" shrinkToFit="1"/>
    </xf>
    <xf numFmtId="176" fontId="7" fillId="0" borderId="0" xfId="0" applyNumberFormat="1" applyFont="1" applyAlignment="1">
      <alignment horizontal="left" vertical="center" shrinkToFit="1"/>
    </xf>
    <xf numFmtId="176" fontId="6" fillId="0" borderId="0" xfId="0" applyNumberFormat="1" applyFont="1" applyAlignment="1">
      <alignment vertical="center" shrinkToFit="1"/>
    </xf>
    <xf numFmtId="0" fontId="10" fillId="0" borderId="0" xfId="0" applyFont="1">
      <alignment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1" xfId="4" applyFont="1" applyBorder="1" applyAlignment="1">
      <alignment horizontal="center" vertical="center" wrapText="1"/>
    </xf>
    <xf numFmtId="176" fontId="8" fillId="0" borderId="9" xfId="0" applyNumberFormat="1" applyFont="1" applyBorder="1" applyAlignment="1">
      <alignment vertical="center" shrinkToFit="1"/>
    </xf>
    <xf numFmtId="176" fontId="9" fillId="0" borderId="8" xfId="0" applyNumberFormat="1" applyFont="1" applyBorder="1" applyAlignment="1">
      <alignment horizontal="center" vertical="center" shrinkToFit="1"/>
    </xf>
    <xf numFmtId="0" fontId="14" fillId="0" borderId="1" xfId="4" applyFont="1" applyBorder="1" applyAlignment="1">
      <alignment horizontal="center" vertical="center" wrapText="1"/>
    </xf>
    <xf numFmtId="0" fontId="5" fillId="2" borderId="6" xfId="2" applyFont="1" applyFill="1" applyBorder="1" applyAlignment="1">
      <alignment horizontal="center" vertical="center" shrinkToFit="1"/>
    </xf>
    <xf numFmtId="176" fontId="6" fillId="0" borderId="0" xfId="0" applyNumberFormat="1" applyFont="1" applyAlignment="1">
      <alignment horizontal="center" vertical="center" shrinkToFit="1"/>
    </xf>
    <xf numFmtId="0" fontId="8" fillId="0" borderId="0" xfId="0" applyFont="1">
      <alignment vertical="center"/>
    </xf>
    <xf numFmtId="0" fontId="13" fillId="2" borderId="6" xfId="2" applyFont="1" applyFill="1" applyBorder="1" applyAlignment="1">
      <alignment horizontal="center" vertical="center" shrinkToFit="1"/>
    </xf>
    <xf numFmtId="14" fontId="0" fillId="0" borderId="0" xfId="0" applyNumberFormat="1" applyAlignment="1">
      <alignment horizontal="center" vertical="center"/>
    </xf>
    <xf numFmtId="0" fontId="13" fillId="2" borderId="0" xfId="2" applyFont="1" applyFill="1" applyAlignment="1">
      <alignment horizontal="center" vertical="center" shrinkToFit="1"/>
    </xf>
    <xf numFmtId="0" fontId="13" fillId="0" borderId="8" xfId="4" applyFont="1" applyBorder="1" applyAlignment="1">
      <alignment horizontal="center" vertical="center" wrapText="1"/>
    </xf>
    <xf numFmtId="0" fontId="13" fillId="0" borderId="12" xfId="4" applyFont="1" applyBorder="1" applyAlignment="1">
      <alignment horizontal="center" vertical="center" wrapText="1"/>
    </xf>
    <xf numFmtId="0" fontId="13" fillId="0" borderId="13" xfId="4" applyFont="1" applyBorder="1" applyAlignment="1">
      <alignment horizontal="center" vertical="center" wrapText="1"/>
    </xf>
    <xf numFmtId="0" fontId="16" fillId="0" borderId="11" xfId="2" applyFont="1" applyBorder="1" applyAlignment="1">
      <alignment horizontal="center" vertical="center" shrinkToFit="1"/>
    </xf>
    <xf numFmtId="0" fontId="17" fillId="0" borderId="0" xfId="0" applyFont="1">
      <alignment vertical="center"/>
    </xf>
    <xf numFmtId="0" fontId="19" fillId="7" borderId="17" xfId="0" applyFont="1" applyFill="1" applyBorder="1" applyAlignment="1">
      <alignment horizontal="center" vertical="center" shrinkToFit="1"/>
    </xf>
    <xf numFmtId="0" fontId="21" fillId="7" borderId="17" xfId="0" applyFont="1" applyFill="1" applyBorder="1" applyAlignment="1">
      <alignment horizontal="center" vertical="center" shrinkToFit="1"/>
    </xf>
    <xf numFmtId="0" fontId="16" fillId="0" borderId="1" xfId="4" applyFont="1" applyBorder="1" applyAlignment="1" applyProtection="1">
      <alignment horizontal="center" vertical="center" wrapText="1"/>
      <protection locked="0"/>
    </xf>
    <xf numFmtId="0" fontId="16" fillId="0" borderId="8" xfId="2" applyFont="1" applyBorder="1" applyAlignment="1">
      <alignment horizontal="center" vertical="center" shrinkToFit="1"/>
    </xf>
    <xf numFmtId="0" fontId="16" fillId="0" borderId="1" xfId="2" applyFont="1" applyBorder="1" applyAlignment="1">
      <alignment horizontal="center" vertical="center" shrinkToFit="1"/>
    </xf>
    <xf numFmtId="0" fontId="22" fillId="0" borderId="8" xfId="4" applyFont="1" applyBorder="1" applyAlignment="1">
      <alignment horizontal="center" vertical="center" shrinkToFit="1"/>
    </xf>
    <xf numFmtId="0" fontId="22" fillId="0" borderId="1" xfId="4" applyFont="1" applyBorder="1" applyAlignment="1">
      <alignment horizontal="center" vertical="center" shrinkToFit="1"/>
    </xf>
    <xf numFmtId="0" fontId="13" fillId="2" borderId="4" xfId="5" applyFont="1" applyFill="1" applyBorder="1" applyAlignment="1">
      <alignment horizontal="center" vertical="center"/>
    </xf>
    <xf numFmtId="0" fontId="13" fillId="0" borderId="3" xfId="5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16" fillId="0" borderId="10" xfId="5" applyFont="1" applyBorder="1" applyAlignment="1">
      <alignment horizontal="center" vertical="center" wrapText="1"/>
    </xf>
    <xf numFmtId="0" fontId="16" fillId="3" borderId="10" xfId="5" applyFont="1" applyFill="1" applyBorder="1" applyAlignment="1">
      <alignment horizontal="center" vertical="center" wrapText="1"/>
    </xf>
    <xf numFmtId="0" fontId="16" fillId="4" borderId="10" xfId="5" applyFont="1" applyFill="1" applyBorder="1" applyAlignment="1">
      <alignment horizontal="center" vertical="center" wrapText="1"/>
    </xf>
    <xf numFmtId="0" fontId="17" fillId="4" borderId="0" xfId="0" applyFont="1" applyFill="1" applyAlignment="1">
      <alignment horizontal="center" vertical="center"/>
    </xf>
    <xf numFmtId="0" fontId="16" fillId="0" borderId="0" xfId="2" applyFont="1" applyAlignment="1">
      <alignment horizontal="center" vertical="center" shrinkToFit="1"/>
    </xf>
    <xf numFmtId="0" fontId="17" fillId="0" borderId="17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17" fillId="0" borderId="18" xfId="0" applyFont="1" applyBorder="1" applyAlignment="1">
      <alignment horizontal="center" vertical="center"/>
    </xf>
    <xf numFmtId="0" fontId="17" fillId="0" borderId="17" xfId="0" applyFont="1" applyBorder="1" applyAlignment="1">
      <alignment horizontal="center" vertical="center" shrinkToFit="1"/>
    </xf>
    <xf numFmtId="0" fontId="17" fillId="3" borderId="17" xfId="0" applyFont="1" applyFill="1" applyBorder="1" applyAlignment="1">
      <alignment horizontal="center" vertical="center" shrinkToFit="1"/>
    </xf>
    <xf numFmtId="0" fontId="17" fillId="4" borderId="17" xfId="0" applyFont="1" applyFill="1" applyBorder="1" applyAlignment="1">
      <alignment horizontal="center" vertical="center" shrinkToFit="1"/>
    </xf>
    <xf numFmtId="0" fontId="22" fillId="0" borderId="17" xfId="0" applyFont="1" applyBorder="1" applyAlignment="1">
      <alignment horizontal="center" vertical="center" shrinkToFit="1"/>
    </xf>
    <xf numFmtId="0" fontId="25" fillId="7" borderId="17" xfId="0" applyFont="1" applyFill="1" applyBorder="1" applyAlignment="1">
      <alignment horizontal="center" vertical="center" shrinkToFit="1"/>
    </xf>
    <xf numFmtId="0" fontId="17" fillId="6" borderId="17" xfId="0" applyFont="1" applyFill="1" applyBorder="1" applyAlignment="1">
      <alignment horizontal="center" vertical="center" shrinkToFit="1"/>
    </xf>
    <xf numFmtId="0" fontId="26" fillId="7" borderId="17" xfId="0" applyFont="1" applyFill="1" applyBorder="1" applyAlignment="1">
      <alignment horizontal="center" vertical="center" shrinkToFit="1"/>
    </xf>
    <xf numFmtId="0" fontId="27" fillId="0" borderId="17" xfId="0" applyFont="1" applyBorder="1" applyAlignment="1">
      <alignment horizontal="center" vertical="center" shrinkToFit="1"/>
    </xf>
    <xf numFmtId="0" fontId="28" fillId="3" borderId="17" xfId="0" applyFont="1" applyFill="1" applyBorder="1" applyAlignment="1">
      <alignment horizontal="center" vertical="center" shrinkToFit="1"/>
    </xf>
    <xf numFmtId="0" fontId="28" fillId="0" borderId="17" xfId="0" applyFont="1" applyBorder="1" applyAlignment="1">
      <alignment horizontal="center" vertical="center" shrinkToFit="1"/>
    </xf>
    <xf numFmtId="0" fontId="29" fillId="7" borderId="17" xfId="0" applyFont="1" applyFill="1" applyBorder="1" applyAlignment="1">
      <alignment horizontal="center" vertical="center" shrinkToFit="1"/>
    </xf>
    <xf numFmtId="0" fontId="18" fillId="0" borderId="17" xfId="0" applyFont="1" applyBorder="1" applyAlignment="1">
      <alignment horizontal="center" vertical="center" shrinkToFit="1"/>
    </xf>
    <xf numFmtId="0" fontId="20" fillId="0" borderId="17" xfId="0" applyFont="1" applyBorder="1" applyAlignment="1">
      <alignment horizontal="center" vertical="center" shrinkToFit="1"/>
    </xf>
    <xf numFmtId="0" fontId="17" fillId="0" borderId="18" xfId="0" applyFont="1" applyBorder="1" applyAlignment="1">
      <alignment horizontal="center" vertical="center" shrinkToFit="1"/>
    </xf>
    <xf numFmtId="0" fontId="17" fillId="3" borderId="18" xfId="0" applyFont="1" applyFill="1" applyBorder="1" applyAlignment="1">
      <alignment horizontal="center" vertical="center" shrinkToFit="1"/>
    </xf>
    <xf numFmtId="0" fontId="17" fillId="4" borderId="18" xfId="0" applyFont="1" applyFill="1" applyBorder="1" applyAlignment="1">
      <alignment horizontal="center" vertical="center" shrinkToFit="1"/>
    </xf>
    <xf numFmtId="0" fontId="16" fillId="0" borderId="1" xfId="4" applyFont="1" applyBorder="1" applyAlignment="1" applyProtection="1">
      <alignment horizontal="center" vertical="center" shrinkToFit="1"/>
      <protection locked="0"/>
    </xf>
    <xf numFmtId="0" fontId="17" fillId="0" borderId="1" xfId="0" applyFont="1" applyBorder="1" applyAlignment="1">
      <alignment horizontal="center" vertical="center" shrinkToFit="1"/>
    </xf>
    <xf numFmtId="0" fontId="17" fillId="3" borderId="1" xfId="0" applyFont="1" applyFill="1" applyBorder="1" applyAlignment="1">
      <alignment horizontal="center" vertical="center" shrinkToFit="1"/>
    </xf>
    <xf numFmtId="0" fontId="17" fillId="4" borderId="1" xfId="0" applyFont="1" applyFill="1" applyBorder="1" applyAlignment="1">
      <alignment horizontal="center" vertical="center" shrinkToFit="1"/>
    </xf>
    <xf numFmtId="0" fontId="16" fillId="0" borderId="14" xfId="4" applyFont="1" applyBorder="1" applyAlignment="1" applyProtection="1">
      <alignment horizontal="center" vertical="center" shrinkToFit="1"/>
      <protection locked="0"/>
    </xf>
    <xf numFmtId="0" fontId="22" fillId="3" borderId="8" xfId="4" applyFont="1" applyFill="1" applyBorder="1" applyAlignment="1">
      <alignment horizontal="center" vertical="center" shrinkToFit="1"/>
    </xf>
    <xf numFmtId="0" fontId="22" fillId="4" borderId="8" xfId="4" applyFont="1" applyFill="1" applyBorder="1" applyAlignment="1">
      <alignment horizontal="center" vertical="center" shrinkToFit="1"/>
    </xf>
    <xf numFmtId="0" fontId="16" fillId="0" borderId="8" xfId="4" applyFont="1" applyBorder="1" applyAlignment="1" applyProtection="1">
      <alignment horizontal="center" vertical="center" shrinkToFit="1"/>
      <protection locked="0"/>
    </xf>
    <xf numFmtId="0" fontId="16" fillId="0" borderId="15" xfId="4" applyFont="1" applyBorder="1" applyAlignment="1" applyProtection="1">
      <alignment horizontal="center" vertical="center" shrinkToFit="1"/>
      <protection locked="0"/>
    </xf>
    <xf numFmtId="0" fontId="22" fillId="3" borderId="1" xfId="4" applyFont="1" applyFill="1" applyBorder="1" applyAlignment="1">
      <alignment horizontal="center" vertical="center" shrinkToFit="1"/>
    </xf>
    <xf numFmtId="0" fontId="22" fillId="4" borderId="1" xfId="4" applyFont="1" applyFill="1" applyBorder="1" applyAlignment="1">
      <alignment horizontal="center" vertical="center" shrinkToFit="1"/>
    </xf>
    <xf numFmtId="0" fontId="16" fillId="0" borderId="9" xfId="4" applyFont="1" applyBorder="1" applyAlignment="1" applyProtection="1">
      <alignment horizontal="center" vertical="center" shrinkToFit="1"/>
      <protection locked="0"/>
    </xf>
    <xf numFmtId="0" fontId="16" fillId="0" borderId="16" xfId="4" applyFont="1" applyBorder="1" applyAlignment="1" applyProtection="1">
      <alignment horizontal="center" vertical="center" shrinkToFit="1"/>
      <protection locked="0"/>
    </xf>
    <xf numFmtId="0" fontId="22" fillId="6" borderId="1" xfId="4" applyFont="1" applyFill="1" applyBorder="1" applyAlignment="1">
      <alignment horizontal="center" vertical="center" shrinkToFit="1"/>
    </xf>
    <xf numFmtId="176" fontId="9" fillId="0" borderId="0" xfId="0" applyNumberFormat="1" applyFont="1" applyAlignment="1">
      <alignment horizontal="left" vertical="center" shrinkToFit="1"/>
    </xf>
    <xf numFmtId="176" fontId="9" fillId="5" borderId="9" xfId="0" applyNumberFormat="1" applyFont="1" applyFill="1" applyBorder="1" applyAlignment="1">
      <alignment horizontal="center" vertical="center" shrinkToFit="1"/>
    </xf>
    <xf numFmtId="176" fontId="9" fillId="5" borderId="5" xfId="0" applyNumberFormat="1" applyFont="1" applyFill="1" applyBorder="1" applyAlignment="1">
      <alignment horizontal="center" vertical="center" shrinkToFit="1"/>
    </xf>
    <xf numFmtId="176" fontId="9" fillId="5" borderId="2" xfId="0" applyNumberFormat="1" applyFont="1" applyFill="1" applyBorder="1" applyAlignment="1">
      <alignment horizontal="center" vertical="center" shrinkToFit="1"/>
    </xf>
    <xf numFmtId="0" fontId="15" fillId="0" borderId="0" xfId="0" applyFont="1" applyAlignment="1">
      <alignment horizontal="center" vertical="center"/>
    </xf>
    <xf numFmtId="0" fontId="16" fillId="0" borderId="6" xfId="2" applyFont="1" applyBorder="1" applyAlignment="1">
      <alignment horizontal="center" vertical="center" wrapText="1" shrinkToFit="1"/>
    </xf>
    <xf numFmtId="0" fontId="16" fillId="0" borderId="7" xfId="2" applyFont="1" applyBorder="1" applyAlignment="1">
      <alignment horizontal="center" vertical="center" shrinkToFit="1"/>
    </xf>
    <xf numFmtId="0" fontId="16" fillId="0" borderId="8" xfId="2" applyFont="1" applyBorder="1" applyAlignment="1">
      <alignment horizontal="center" vertical="center" shrinkToFit="1"/>
    </xf>
    <xf numFmtId="176" fontId="24" fillId="0" borderId="5" xfId="0" applyNumberFormat="1" applyFont="1" applyBorder="1" applyAlignment="1">
      <alignment horizontal="center" vertical="center" shrinkToFit="1"/>
    </xf>
  </cellXfs>
  <cellStyles count="6">
    <cellStyle name="標準" xfId="0" builtinId="0"/>
    <cellStyle name="標準 2" xfId="1" xr:uid="{00000000-0005-0000-0000-000001000000}"/>
    <cellStyle name="標準_勤務作成シート" xfId="2" xr:uid="{00000000-0005-0000-0000-000003000000}"/>
    <cellStyle name="標準_原本" xfId="4" xr:uid="{98676CB3-D127-4DDF-8163-0B4F26347313}"/>
    <cellStyle name="標準_原本 （コピーして使用すること)" xfId="3" xr:uid="{6E5D064F-9C68-4836-86F1-B9D1BD4648F4}"/>
    <cellStyle name="標準_原本シート" xfId="5" xr:uid="{203859D3-AEC5-4BDB-9150-1659C9A3E175}"/>
  </cellStyles>
  <dxfs count="22">
    <dxf>
      <fill>
        <patternFill>
          <bgColor theme="9" tint="0.7999816888943144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7" tint="0.59996337778862885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FFCCFF"/>
      <color rgb="FFCCCCFF"/>
      <color rgb="FFFF6B9D"/>
      <color rgb="FFFF5050"/>
      <color rgb="FFCC99FF"/>
      <color rgb="FFCB05C2"/>
      <color rgb="FFFF9900"/>
      <color rgb="FFFFCC99"/>
      <color rgb="FFCCFFFF"/>
      <color rgb="FF007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DBE28-CE27-4D36-9C93-C91C7785695A}">
  <sheetPr codeName="Sheet5">
    <pageSetUpPr fitToPage="1"/>
  </sheetPr>
  <dimension ref="A1:AS80"/>
  <sheetViews>
    <sheetView tabSelected="1" zoomScale="21" zoomScaleNormal="21" zoomScaleSheetLayoutView="10" workbookViewId="0">
      <selection activeCell="K60" sqref="K60:K64"/>
    </sheetView>
  </sheetViews>
  <sheetFormatPr baseColWidth="10" defaultColWidth="8.83203125" defaultRowHeight="42"/>
  <cols>
    <col min="1" max="1" width="11.6640625" bestFit="1" customWidth="1"/>
    <col min="2" max="2" width="54.33203125" style="4" customWidth="1"/>
    <col min="3" max="33" width="29.1640625" customWidth="1"/>
    <col min="34" max="34" width="55" style="4" customWidth="1"/>
    <col min="35" max="35" width="14.1640625" customWidth="1"/>
    <col min="36" max="36" width="25.33203125" style="21" customWidth="1"/>
    <col min="37" max="37" width="64.33203125" customWidth="1"/>
    <col min="38" max="38" width="13.6640625" bestFit="1" customWidth="1"/>
    <col min="40" max="40" width="34.6640625" customWidth="1"/>
    <col min="41" max="41" width="18.6640625" customWidth="1"/>
    <col min="42" max="42" width="13.6640625" bestFit="1" customWidth="1"/>
    <col min="45" max="45" width="12.33203125" bestFit="1" customWidth="1"/>
  </cols>
  <sheetData>
    <row r="1" spans="1:45" ht="194.75" customHeight="1">
      <c r="A1" s="1"/>
      <c r="B1" s="82" t="s">
        <v>298</v>
      </c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L1" s="2"/>
      <c r="AO1" s="2"/>
      <c r="AP1" s="2">
        <v>46054</v>
      </c>
      <c r="AS1" s="2">
        <v>45108</v>
      </c>
    </row>
    <row r="2" spans="1:45" ht="62" customHeight="1">
      <c r="A2" s="9"/>
      <c r="B2" s="78" t="s">
        <v>250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10"/>
      <c r="AF2" s="11"/>
      <c r="AG2" s="11"/>
      <c r="AH2" s="20"/>
      <c r="AI2" s="86" t="s">
        <v>299</v>
      </c>
      <c r="AJ2" s="86"/>
      <c r="AK2" s="11"/>
    </row>
    <row r="3" spans="1:45" ht="62" customHeight="1">
      <c r="A3" s="37" t="s">
        <v>245</v>
      </c>
      <c r="B3" s="37" t="s">
        <v>0</v>
      </c>
      <c r="C3" s="37" t="s">
        <v>1</v>
      </c>
      <c r="D3" s="37" t="s">
        <v>2</v>
      </c>
      <c r="E3" s="37" t="s">
        <v>3</v>
      </c>
      <c r="F3" s="37" t="s">
        <v>4</v>
      </c>
      <c r="G3" s="37" t="s">
        <v>5</v>
      </c>
      <c r="H3" s="37" t="s">
        <v>6</v>
      </c>
      <c r="I3" s="37" t="s">
        <v>7</v>
      </c>
      <c r="J3" s="37" t="s">
        <v>8</v>
      </c>
      <c r="K3" s="37" t="s">
        <v>9</v>
      </c>
      <c r="L3" s="37" t="s">
        <v>10</v>
      </c>
      <c r="M3" s="37" t="s">
        <v>11</v>
      </c>
      <c r="N3" s="37" t="s">
        <v>12</v>
      </c>
      <c r="O3" s="37" t="s">
        <v>13</v>
      </c>
      <c r="P3" s="37" t="s">
        <v>14</v>
      </c>
      <c r="Q3" s="37" t="s">
        <v>15</v>
      </c>
      <c r="R3" s="37" t="s">
        <v>16</v>
      </c>
      <c r="S3" s="37" t="s">
        <v>17</v>
      </c>
      <c r="T3" s="37" t="s">
        <v>18</v>
      </c>
      <c r="U3" s="37" t="s">
        <v>19</v>
      </c>
      <c r="V3" s="37" t="s">
        <v>20</v>
      </c>
      <c r="W3" s="37" t="s">
        <v>21</v>
      </c>
      <c r="X3" s="37" t="s">
        <v>22</v>
      </c>
      <c r="Y3" s="37" t="s">
        <v>23</v>
      </c>
      <c r="Z3" s="37" t="s">
        <v>24</v>
      </c>
      <c r="AA3" s="37" t="s">
        <v>25</v>
      </c>
      <c r="AB3" s="37" t="s">
        <v>26</v>
      </c>
      <c r="AC3" s="37" t="s">
        <v>27</v>
      </c>
      <c r="AD3" s="37" t="s">
        <v>28</v>
      </c>
      <c r="AE3" s="37" t="s">
        <v>29</v>
      </c>
      <c r="AF3" s="37" t="s">
        <v>30</v>
      </c>
      <c r="AG3" s="37">
        <v>31</v>
      </c>
      <c r="AH3" s="24" t="s">
        <v>0</v>
      </c>
      <c r="AI3" s="19" t="s">
        <v>211</v>
      </c>
      <c r="AJ3" s="22" t="s">
        <v>212</v>
      </c>
      <c r="AK3" s="5" t="s">
        <v>213</v>
      </c>
    </row>
    <row r="4" spans="1:45" ht="62" customHeight="1">
      <c r="A4" s="38">
        <v>0</v>
      </c>
      <c r="B4" s="40" t="s">
        <v>31</v>
      </c>
      <c r="C4" s="40" t="s">
        <v>230</v>
      </c>
      <c r="D4" s="40" t="s">
        <v>231</v>
      </c>
      <c r="E4" s="40" t="s">
        <v>294</v>
      </c>
      <c r="F4" s="40" t="s">
        <v>232</v>
      </c>
      <c r="G4" s="40" t="s">
        <v>228</v>
      </c>
      <c r="H4" s="41" t="str">
        <f t="shared" ref="H4:AC4" si="0">LEFT( TEXT(H135,"aaaa"),1)</f>
        <v>土</v>
      </c>
      <c r="I4" s="42" t="s">
        <v>229</v>
      </c>
      <c r="J4" s="40" t="s">
        <v>230</v>
      </c>
      <c r="K4" s="40" t="s">
        <v>231</v>
      </c>
      <c r="L4" s="40" t="s">
        <v>294</v>
      </c>
      <c r="M4" s="40" t="s">
        <v>232</v>
      </c>
      <c r="N4" s="40" t="s">
        <v>228</v>
      </c>
      <c r="O4" s="41" t="str">
        <f t="shared" si="0"/>
        <v>土</v>
      </c>
      <c r="P4" s="42" t="s">
        <v>229</v>
      </c>
      <c r="Q4" s="40" t="s">
        <v>230</v>
      </c>
      <c r="R4" s="40" t="s">
        <v>231</v>
      </c>
      <c r="S4" s="40" t="s">
        <v>294</v>
      </c>
      <c r="T4" s="40" t="s">
        <v>232</v>
      </c>
      <c r="U4" s="40" t="s">
        <v>228</v>
      </c>
      <c r="V4" s="41" t="str">
        <f t="shared" si="0"/>
        <v>土</v>
      </c>
      <c r="W4" s="42" t="s">
        <v>229</v>
      </c>
      <c r="X4" s="40" t="s">
        <v>230</v>
      </c>
      <c r="Y4" s="40" t="s">
        <v>231</v>
      </c>
      <c r="Z4" s="40" t="s">
        <v>294</v>
      </c>
      <c r="AA4" s="40" t="s">
        <v>232</v>
      </c>
      <c r="AB4" s="40" t="s">
        <v>228</v>
      </c>
      <c r="AC4" s="41" t="str">
        <f t="shared" si="0"/>
        <v>土</v>
      </c>
      <c r="AD4" s="42" t="s">
        <v>229</v>
      </c>
      <c r="AE4" s="40" t="s">
        <v>230</v>
      </c>
      <c r="AF4" s="42" t="s">
        <v>231</v>
      </c>
      <c r="AG4" s="43" t="s">
        <v>233</v>
      </c>
      <c r="AH4" s="44" t="s">
        <v>31</v>
      </c>
      <c r="AI4" s="34"/>
      <c r="AJ4" s="34"/>
      <c r="AK4" s="83" t="s">
        <v>321</v>
      </c>
      <c r="AN4" s="7"/>
      <c r="AO4" s="7" t="s">
        <v>136</v>
      </c>
      <c r="AP4" s="13"/>
    </row>
    <row r="5" spans="1:45" ht="62" customHeight="1">
      <c r="A5" s="39">
        <v>1</v>
      </c>
      <c r="B5" s="45" t="s">
        <v>247</v>
      </c>
      <c r="C5" s="48" t="s">
        <v>52</v>
      </c>
      <c r="D5" s="48" t="s">
        <v>145</v>
      </c>
      <c r="E5" s="48" t="s">
        <v>306</v>
      </c>
      <c r="F5" s="48" t="s">
        <v>145</v>
      </c>
      <c r="G5" s="48" t="s">
        <v>145</v>
      </c>
      <c r="H5" s="49" t="s">
        <v>128</v>
      </c>
      <c r="I5" s="50"/>
      <c r="J5" s="48" t="s">
        <v>137</v>
      </c>
      <c r="K5" s="48" t="s">
        <v>137</v>
      </c>
      <c r="L5" s="48" t="s">
        <v>310</v>
      </c>
      <c r="M5" s="48" t="s">
        <v>266</v>
      </c>
      <c r="N5" s="48" t="s">
        <v>137</v>
      </c>
      <c r="O5" s="49" t="s">
        <v>128</v>
      </c>
      <c r="P5" s="50"/>
      <c r="Q5" s="48" t="s">
        <v>137</v>
      </c>
      <c r="R5" s="48" t="s">
        <v>137</v>
      </c>
      <c r="S5" s="48" t="s">
        <v>137</v>
      </c>
      <c r="T5" s="48" t="s">
        <v>128</v>
      </c>
      <c r="U5" s="48" t="s">
        <v>137</v>
      </c>
      <c r="V5" s="49" t="s">
        <v>128</v>
      </c>
      <c r="W5" s="50"/>
      <c r="X5" s="48" t="s">
        <v>137</v>
      </c>
      <c r="Y5" s="48" t="s">
        <v>137</v>
      </c>
      <c r="Z5" s="48" t="s">
        <v>137</v>
      </c>
      <c r="AA5" s="48" t="s">
        <v>218</v>
      </c>
      <c r="AB5" s="48" t="s">
        <v>137</v>
      </c>
      <c r="AC5" s="49" t="s">
        <v>137</v>
      </c>
      <c r="AD5" s="50"/>
      <c r="AE5" s="48" t="s">
        <v>137</v>
      </c>
      <c r="AF5" s="50"/>
      <c r="AG5" s="50"/>
      <c r="AH5" s="28" t="str">
        <f>LEFT(B5,FIND("　",B5,1))</f>
        <v>加藤　</v>
      </c>
      <c r="AI5" s="33"/>
      <c r="AJ5" s="33"/>
      <c r="AK5" s="84"/>
      <c r="AN5" s="6"/>
      <c r="AO5" s="8"/>
      <c r="AP5" s="14"/>
    </row>
    <row r="6" spans="1:45" ht="62" customHeight="1">
      <c r="A6" s="39">
        <v>2</v>
      </c>
      <c r="B6" s="45" t="s">
        <v>59</v>
      </c>
      <c r="C6" s="48" t="s">
        <v>312</v>
      </c>
      <c r="D6" s="51" t="s">
        <v>38</v>
      </c>
      <c r="E6" s="48" t="s">
        <v>133</v>
      </c>
      <c r="F6" s="48" t="s">
        <v>243</v>
      </c>
      <c r="G6" s="48" t="s">
        <v>154</v>
      </c>
      <c r="H6" s="49" t="s">
        <v>128</v>
      </c>
      <c r="I6" s="50"/>
      <c r="J6" s="48" t="s">
        <v>38</v>
      </c>
      <c r="K6" s="48" t="s">
        <v>37</v>
      </c>
      <c r="L6" s="48" t="s">
        <v>154</v>
      </c>
      <c r="M6" s="48" t="s">
        <v>286</v>
      </c>
      <c r="N6" s="48" t="s">
        <v>218</v>
      </c>
      <c r="O6" s="52" t="s">
        <v>218</v>
      </c>
      <c r="P6" s="50" t="s">
        <v>146</v>
      </c>
      <c r="Q6" s="48" t="s">
        <v>58</v>
      </c>
      <c r="R6" s="48" t="s">
        <v>38</v>
      </c>
      <c r="S6" s="48" t="s">
        <v>38</v>
      </c>
      <c r="T6" s="48" t="s">
        <v>243</v>
      </c>
      <c r="U6" s="48" t="s">
        <v>45</v>
      </c>
      <c r="V6" s="49" t="s">
        <v>128</v>
      </c>
      <c r="W6" s="50"/>
      <c r="X6" s="48" t="s">
        <v>41</v>
      </c>
      <c r="Y6" s="48" t="s">
        <v>37</v>
      </c>
      <c r="Z6" s="48" t="s">
        <v>157</v>
      </c>
      <c r="AA6" s="52" t="s">
        <v>318</v>
      </c>
      <c r="AB6" s="48" t="s">
        <v>146</v>
      </c>
      <c r="AC6" s="49" t="s">
        <v>128</v>
      </c>
      <c r="AD6" s="50"/>
      <c r="AE6" s="48" t="s">
        <v>53</v>
      </c>
      <c r="AF6" s="50"/>
      <c r="AG6" s="50"/>
      <c r="AH6" s="28" t="str">
        <f t="shared" ref="AH6:AH69" si="1">LEFT(B6,FIND("　",B6,1))</f>
        <v>石川　</v>
      </c>
      <c r="AI6" s="34">
        <v>1</v>
      </c>
      <c r="AJ6" s="34"/>
      <c r="AK6" s="84"/>
      <c r="AL6" s="12"/>
      <c r="AN6" s="6"/>
      <c r="AO6" s="8"/>
      <c r="AP6" s="14"/>
    </row>
    <row r="7" spans="1:45" ht="62" customHeight="1">
      <c r="A7" s="39">
        <v>2.5</v>
      </c>
      <c r="B7" s="45" t="s">
        <v>60</v>
      </c>
      <c r="C7" s="48" t="s">
        <v>139</v>
      </c>
      <c r="D7" s="48" t="s">
        <v>139</v>
      </c>
      <c r="E7" s="48" t="s">
        <v>58</v>
      </c>
      <c r="F7" s="48" t="s">
        <v>139</v>
      </c>
      <c r="G7" s="48" t="s">
        <v>139</v>
      </c>
      <c r="H7" s="49" t="s">
        <v>58</v>
      </c>
      <c r="I7" s="50"/>
      <c r="J7" s="48" t="s">
        <v>139</v>
      </c>
      <c r="K7" s="48" t="s">
        <v>139</v>
      </c>
      <c r="L7" s="48" t="s">
        <v>58</v>
      </c>
      <c r="M7" s="48" t="s">
        <v>139</v>
      </c>
      <c r="N7" s="48" t="s">
        <v>139</v>
      </c>
      <c r="O7" s="49" t="s">
        <v>58</v>
      </c>
      <c r="P7" s="50"/>
      <c r="Q7" s="48" t="s">
        <v>139</v>
      </c>
      <c r="R7" s="48" t="s">
        <v>139</v>
      </c>
      <c r="S7" s="48" t="s">
        <v>58</v>
      </c>
      <c r="T7" s="48" t="s">
        <v>139</v>
      </c>
      <c r="U7" s="48" t="s">
        <v>139</v>
      </c>
      <c r="V7" s="49" t="s">
        <v>58</v>
      </c>
      <c r="W7" s="50"/>
      <c r="X7" s="48" t="s">
        <v>139</v>
      </c>
      <c r="Y7" s="48" t="s">
        <v>139</v>
      </c>
      <c r="Z7" s="48" t="s">
        <v>58</v>
      </c>
      <c r="AA7" s="48" t="s">
        <v>139</v>
      </c>
      <c r="AB7" s="48" t="s">
        <v>139</v>
      </c>
      <c r="AC7" s="49" t="s">
        <v>58</v>
      </c>
      <c r="AD7" s="50"/>
      <c r="AE7" s="48" t="s">
        <v>139</v>
      </c>
      <c r="AF7" s="50"/>
      <c r="AG7" s="50"/>
      <c r="AH7" s="28" t="str">
        <f t="shared" si="1"/>
        <v>矢野　</v>
      </c>
      <c r="AI7" s="34"/>
      <c r="AJ7" s="34"/>
      <c r="AK7" s="84"/>
      <c r="AN7" s="6"/>
      <c r="AO7" s="8"/>
      <c r="AP7" s="14"/>
    </row>
    <row r="8" spans="1:45" ht="62" customHeight="1">
      <c r="A8" s="39">
        <v>3</v>
      </c>
      <c r="B8" s="45" t="s">
        <v>62</v>
      </c>
      <c r="C8" s="48" t="s">
        <v>219</v>
      </c>
      <c r="D8" s="48" t="s">
        <v>58</v>
      </c>
      <c r="E8" s="48" t="s">
        <v>55</v>
      </c>
      <c r="F8" s="48" t="s">
        <v>43</v>
      </c>
      <c r="G8" s="48" t="s">
        <v>55</v>
      </c>
      <c r="H8" s="49" t="s">
        <v>39</v>
      </c>
      <c r="I8" s="50"/>
      <c r="J8" s="48" t="s">
        <v>40</v>
      </c>
      <c r="K8" s="48" t="s">
        <v>43</v>
      </c>
      <c r="L8" s="48" t="s">
        <v>128</v>
      </c>
      <c r="M8" s="48" t="s">
        <v>43</v>
      </c>
      <c r="N8" s="48" t="s">
        <v>43</v>
      </c>
      <c r="O8" s="49" t="s">
        <v>142</v>
      </c>
      <c r="P8" s="50"/>
      <c r="Q8" s="48" t="s">
        <v>42</v>
      </c>
      <c r="R8" s="48" t="s">
        <v>133</v>
      </c>
      <c r="S8" s="48" t="s">
        <v>42</v>
      </c>
      <c r="T8" s="48" t="s">
        <v>142</v>
      </c>
      <c r="U8" s="48" t="s">
        <v>55</v>
      </c>
      <c r="V8" s="49" t="s">
        <v>128</v>
      </c>
      <c r="W8" s="50"/>
      <c r="X8" s="48" t="s">
        <v>43</v>
      </c>
      <c r="Y8" s="48" t="s">
        <v>43</v>
      </c>
      <c r="Z8" s="48" t="s">
        <v>128</v>
      </c>
      <c r="AA8" s="48" t="s">
        <v>43</v>
      </c>
      <c r="AB8" s="48" t="s">
        <v>41</v>
      </c>
      <c r="AC8" s="49" t="s">
        <v>39</v>
      </c>
      <c r="AD8" s="50"/>
      <c r="AE8" s="48" t="s">
        <v>43</v>
      </c>
      <c r="AF8" s="50"/>
      <c r="AG8" s="50"/>
      <c r="AH8" s="28" t="str">
        <f t="shared" si="1"/>
        <v>関　</v>
      </c>
      <c r="AI8" s="34"/>
      <c r="AJ8" s="34"/>
      <c r="AK8" s="84"/>
      <c r="AN8" s="6"/>
      <c r="AO8" s="8"/>
      <c r="AP8" s="14"/>
    </row>
    <row r="9" spans="1:45" ht="62" customHeight="1">
      <c r="A9" s="39">
        <v>4</v>
      </c>
      <c r="B9" s="45" t="s">
        <v>63</v>
      </c>
      <c r="C9" s="48" t="s">
        <v>259</v>
      </c>
      <c r="D9" s="48" t="s">
        <v>258</v>
      </c>
      <c r="E9" s="48" t="s">
        <v>258</v>
      </c>
      <c r="F9" s="48" t="s">
        <v>258</v>
      </c>
      <c r="G9" s="48" t="s">
        <v>258</v>
      </c>
      <c r="H9" s="49" t="s">
        <v>58</v>
      </c>
      <c r="I9" s="50"/>
      <c r="J9" s="48" t="s">
        <v>258</v>
      </c>
      <c r="K9" s="48" t="s">
        <v>258</v>
      </c>
      <c r="L9" s="48" t="s">
        <v>258</v>
      </c>
      <c r="M9" s="48" t="s">
        <v>258</v>
      </c>
      <c r="N9" s="48" t="s">
        <v>258</v>
      </c>
      <c r="O9" s="49" t="s">
        <v>128</v>
      </c>
      <c r="P9" s="50"/>
      <c r="Q9" s="48" t="s">
        <v>258</v>
      </c>
      <c r="R9" s="48" t="s">
        <v>258</v>
      </c>
      <c r="S9" s="48" t="s">
        <v>258</v>
      </c>
      <c r="T9" s="48" t="s">
        <v>258</v>
      </c>
      <c r="U9" s="48" t="s">
        <v>258</v>
      </c>
      <c r="V9" s="49" t="s">
        <v>58</v>
      </c>
      <c r="W9" s="50"/>
      <c r="X9" s="48" t="s">
        <v>258</v>
      </c>
      <c r="Y9" s="48" t="s">
        <v>258</v>
      </c>
      <c r="Z9" s="48" t="s">
        <v>258</v>
      </c>
      <c r="AA9" s="48" t="s">
        <v>258</v>
      </c>
      <c r="AB9" s="48" t="s">
        <v>258</v>
      </c>
      <c r="AC9" s="49" t="s">
        <v>258</v>
      </c>
      <c r="AD9" s="50"/>
      <c r="AE9" s="48" t="s">
        <v>128</v>
      </c>
      <c r="AF9" s="50"/>
      <c r="AG9" s="50"/>
      <c r="AH9" s="28" t="str">
        <f t="shared" si="1"/>
        <v>里見　</v>
      </c>
      <c r="AI9" s="34"/>
      <c r="AJ9" s="34"/>
      <c r="AK9" s="84"/>
      <c r="AN9" s="18" t="s">
        <v>63</v>
      </c>
      <c r="AO9" s="8"/>
      <c r="AP9" s="14"/>
    </row>
    <row r="10" spans="1:45" ht="62" customHeight="1">
      <c r="A10" s="39">
        <v>4</v>
      </c>
      <c r="B10" s="45" t="s">
        <v>64</v>
      </c>
      <c r="C10" s="48" t="s">
        <v>134</v>
      </c>
      <c r="D10" s="48" t="s">
        <v>55</v>
      </c>
      <c r="E10" s="48" t="s">
        <v>43</v>
      </c>
      <c r="F10" s="48" t="s">
        <v>134</v>
      </c>
      <c r="G10" s="48" t="s">
        <v>138</v>
      </c>
      <c r="H10" s="49" t="s">
        <v>128</v>
      </c>
      <c r="I10" s="50"/>
      <c r="J10" s="48" t="s">
        <v>234</v>
      </c>
      <c r="K10" s="48" t="s">
        <v>234</v>
      </c>
      <c r="L10" s="48" t="s">
        <v>134</v>
      </c>
      <c r="M10" s="48" t="s">
        <v>285</v>
      </c>
      <c r="N10" s="48" t="s">
        <v>39</v>
      </c>
      <c r="O10" s="49" t="s">
        <v>128</v>
      </c>
      <c r="P10" s="50"/>
      <c r="Q10" s="48" t="s">
        <v>134</v>
      </c>
      <c r="R10" s="48" t="s">
        <v>43</v>
      </c>
      <c r="S10" s="48" t="s">
        <v>55</v>
      </c>
      <c r="T10" s="48" t="s">
        <v>134</v>
      </c>
      <c r="U10" s="48" t="s">
        <v>40</v>
      </c>
      <c r="V10" s="49" t="s">
        <v>128</v>
      </c>
      <c r="W10" s="50"/>
      <c r="X10" s="48" t="s">
        <v>55</v>
      </c>
      <c r="Y10" s="48" t="s">
        <v>40</v>
      </c>
      <c r="Z10" s="48" t="s">
        <v>134</v>
      </c>
      <c r="AA10" s="48" t="s">
        <v>140</v>
      </c>
      <c r="AB10" s="48" t="s">
        <v>219</v>
      </c>
      <c r="AC10" s="49" t="s">
        <v>128</v>
      </c>
      <c r="AD10" s="50"/>
      <c r="AE10" s="48" t="s">
        <v>134</v>
      </c>
      <c r="AF10" s="50"/>
      <c r="AG10" s="50"/>
      <c r="AH10" s="28" t="str">
        <f t="shared" si="1"/>
        <v>加藤　</v>
      </c>
      <c r="AI10" s="34"/>
      <c r="AJ10" s="34"/>
      <c r="AK10" s="84"/>
      <c r="AN10" s="18"/>
      <c r="AO10" s="8"/>
      <c r="AP10" s="14"/>
    </row>
    <row r="11" spans="1:45" ht="62" customHeight="1">
      <c r="A11" s="39">
        <v>5</v>
      </c>
      <c r="B11" s="45" t="s">
        <v>65</v>
      </c>
      <c r="C11" s="48" t="s">
        <v>313</v>
      </c>
      <c r="D11" s="48" t="s">
        <v>219</v>
      </c>
      <c r="E11" s="48" t="s">
        <v>307</v>
      </c>
      <c r="F11" s="48" t="s">
        <v>141</v>
      </c>
      <c r="G11" s="48" t="s">
        <v>140</v>
      </c>
      <c r="H11" s="49" t="s">
        <v>55</v>
      </c>
      <c r="I11" s="50"/>
      <c r="J11" s="48" t="s">
        <v>39</v>
      </c>
      <c r="K11" s="48" t="s">
        <v>55</v>
      </c>
      <c r="L11" s="48" t="s">
        <v>311</v>
      </c>
      <c r="M11" s="48" t="s">
        <v>40</v>
      </c>
      <c r="N11" s="48" t="s">
        <v>140</v>
      </c>
      <c r="O11" s="49" t="s">
        <v>41</v>
      </c>
      <c r="P11" s="50"/>
      <c r="Q11" s="48" t="s">
        <v>40</v>
      </c>
      <c r="R11" s="48" t="s">
        <v>42</v>
      </c>
      <c r="S11" s="48" t="s">
        <v>141</v>
      </c>
      <c r="T11" s="48" t="s">
        <v>43</v>
      </c>
      <c r="U11" s="48" t="s">
        <v>43</v>
      </c>
      <c r="V11" s="49" t="s">
        <v>58</v>
      </c>
      <c r="W11" s="50"/>
      <c r="X11" s="48" t="s">
        <v>128</v>
      </c>
      <c r="Y11" s="48" t="s">
        <v>35</v>
      </c>
      <c r="Z11" s="48" t="s">
        <v>43</v>
      </c>
      <c r="AA11" s="48" t="s">
        <v>143</v>
      </c>
      <c r="AB11" s="48" t="s">
        <v>128</v>
      </c>
      <c r="AC11" s="49" t="s">
        <v>58</v>
      </c>
      <c r="AD11" s="50"/>
      <c r="AE11" s="48" t="s">
        <v>40</v>
      </c>
      <c r="AF11" s="50"/>
      <c r="AG11" s="50"/>
      <c r="AH11" s="28" t="str">
        <f t="shared" si="1"/>
        <v>福田　</v>
      </c>
      <c r="AI11" s="34"/>
      <c r="AJ11" s="34"/>
      <c r="AK11" s="84"/>
      <c r="AN11" s="18"/>
      <c r="AO11" s="8"/>
      <c r="AP11" s="14"/>
    </row>
    <row r="12" spans="1:45" ht="62" customHeight="1">
      <c r="A12" s="39">
        <v>6</v>
      </c>
      <c r="B12" s="45" t="s">
        <v>66</v>
      </c>
      <c r="C12" s="48" t="s">
        <v>314</v>
      </c>
      <c r="D12" s="48" t="s">
        <v>216</v>
      </c>
      <c r="E12" s="48" t="s">
        <v>37</v>
      </c>
      <c r="F12" s="53" t="s">
        <v>223</v>
      </c>
      <c r="G12" s="53" t="s">
        <v>223</v>
      </c>
      <c r="H12" s="49" t="s">
        <v>58</v>
      </c>
      <c r="I12" s="50"/>
      <c r="J12" s="48" t="s">
        <v>142</v>
      </c>
      <c r="K12" s="48" t="s">
        <v>130</v>
      </c>
      <c r="L12" s="48" t="s">
        <v>282</v>
      </c>
      <c r="M12" s="48" t="s">
        <v>221</v>
      </c>
      <c r="N12" s="48" t="s">
        <v>35</v>
      </c>
      <c r="O12" s="49" t="s">
        <v>38</v>
      </c>
      <c r="P12" s="50"/>
      <c r="Q12" s="48" t="s">
        <v>128</v>
      </c>
      <c r="R12" s="48" t="s">
        <v>130</v>
      </c>
      <c r="S12" s="48" t="s">
        <v>130</v>
      </c>
      <c r="T12" s="48" t="s">
        <v>216</v>
      </c>
      <c r="U12" s="48" t="s">
        <v>37</v>
      </c>
      <c r="V12" s="49" t="s">
        <v>58</v>
      </c>
      <c r="W12" s="50"/>
      <c r="X12" s="48" t="s">
        <v>37</v>
      </c>
      <c r="Y12" s="48" t="s">
        <v>35</v>
      </c>
      <c r="Z12" s="48" t="s">
        <v>142</v>
      </c>
      <c r="AA12" s="48" t="s">
        <v>35</v>
      </c>
      <c r="AB12" s="48" t="s">
        <v>58</v>
      </c>
      <c r="AC12" s="49" t="s">
        <v>35</v>
      </c>
      <c r="AD12" s="50"/>
      <c r="AE12" s="48" t="s">
        <v>130</v>
      </c>
      <c r="AF12" s="50"/>
      <c r="AG12" s="50" t="s">
        <v>58</v>
      </c>
      <c r="AH12" s="28" t="str">
        <f t="shared" si="1"/>
        <v>河西　</v>
      </c>
      <c r="AI12" s="34"/>
      <c r="AJ12" s="34"/>
      <c r="AK12" s="84"/>
      <c r="AN12" s="18"/>
      <c r="AO12" s="8"/>
      <c r="AP12" s="14"/>
    </row>
    <row r="13" spans="1:45" ht="62" customHeight="1">
      <c r="A13" s="39">
        <v>7</v>
      </c>
      <c r="B13" s="45" t="s">
        <v>67</v>
      </c>
      <c r="C13" s="48" t="s">
        <v>128</v>
      </c>
      <c r="D13" s="48" t="s">
        <v>49</v>
      </c>
      <c r="E13" s="48" t="s">
        <v>308</v>
      </c>
      <c r="F13" s="48" t="s">
        <v>144</v>
      </c>
      <c r="G13" s="48" t="s">
        <v>137</v>
      </c>
      <c r="H13" s="49" t="s">
        <v>128</v>
      </c>
      <c r="I13" s="30" t="s">
        <v>256</v>
      </c>
      <c r="J13" s="48" t="s">
        <v>33</v>
      </c>
      <c r="K13" s="48" t="s">
        <v>58</v>
      </c>
      <c r="L13" s="48" t="s">
        <v>308</v>
      </c>
      <c r="M13" s="30" t="s">
        <v>50</v>
      </c>
      <c r="N13" s="48" t="s">
        <v>33</v>
      </c>
      <c r="O13" s="49" t="s">
        <v>58</v>
      </c>
      <c r="P13" s="50"/>
      <c r="Q13" s="48" t="s">
        <v>68</v>
      </c>
      <c r="R13" s="48" t="s">
        <v>68</v>
      </c>
      <c r="S13" s="48" t="s">
        <v>68</v>
      </c>
      <c r="T13" s="48" t="s">
        <v>68</v>
      </c>
      <c r="U13" s="48" t="s">
        <v>128</v>
      </c>
      <c r="V13" s="30" t="s">
        <v>271</v>
      </c>
      <c r="W13" s="50" t="s">
        <v>33</v>
      </c>
      <c r="X13" s="48" t="s">
        <v>58</v>
      </c>
      <c r="Y13" s="48" t="s">
        <v>49</v>
      </c>
      <c r="Z13" s="48" t="s">
        <v>52</v>
      </c>
      <c r="AA13" s="48" t="s">
        <v>145</v>
      </c>
      <c r="AB13" s="48" t="s">
        <v>144</v>
      </c>
      <c r="AC13" s="49" t="s">
        <v>128</v>
      </c>
      <c r="AD13" s="30" t="s">
        <v>256</v>
      </c>
      <c r="AE13" s="48" t="s">
        <v>33</v>
      </c>
      <c r="AF13" s="50"/>
      <c r="AG13" s="50"/>
      <c r="AH13" s="28" t="str">
        <f t="shared" si="1"/>
        <v>佐藤　</v>
      </c>
      <c r="AI13" s="34"/>
      <c r="AJ13" s="34"/>
      <c r="AK13" s="84"/>
      <c r="AN13" s="18" t="s">
        <v>67</v>
      </c>
      <c r="AO13" s="8">
        <v>3</v>
      </c>
      <c r="AP13" s="14"/>
    </row>
    <row r="14" spans="1:45" ht="62" customHeight="1">
      <c r="A14" s="39">
        <v>8</v>
      </c>
      <c r="B14" s="45" t="s">
        <v>69</v>
      </c>
      <c r="C14" s="48" t="s">
        <v>137</v>
      </c>
      <c r="D14" s="48" t="s">
        <v>38</v>
      </c>
      <c r="E14" s="48" t="s">
        <v>145</v>
      </c>
      <c r="F14" s="48" t="s">
        <v>145</v>
      </c>
      <c r="G14" s="48" t="s">
        <v>128</v>
      </c>
      <c r="H14" s="49" t="s">
        <v>218</v>
      </c>
      <c r="I14" s="50"/>
      <c r="J14" s="48" t="s">
        <v>38</v>
      </c>
      <c r="K14" s="48" t="s">
        <v>137</v>
      </c>
      <c r="L14" s="48" t="s">
        <v>52</v>
      </c>
      <c r="M14" s="48" t="s">
        <v>38</v>
      </c>
      <c r="N14" s="48" t="s">
        <v>145</v>
      </c>
      <c r="O14" s="49" t="s">
        <v>128</v>
      </c>
      <c r="P14" s="50"/>
      <c r="Q14" s="48" t="s">
        <v>218</v>
      </c>
      <c r="R14" s="48" t="s">
        <v>145</v>
      </c>
      <c r="S14" s="48" t="s">
        <v>137</v>
      </c>
      <c r="T14" s="48" t="s">
        <v>38</v>
      </c>
      <c r="U14" s="48" t="s">
        <v>38</v>
      </c>
      <c r="V14" s="49" t="s">
        <v>58</v>
      </c>
      <c r="W14" s="50"/>
      <c r="X14" s="48" t="s">
        <v>218</v>
      </c>
      <c r="Y14" s="48" t="s">
        <v>218</v>
      </c>
      <c r="Z14" s="48" t="s">
        <v>38</v>
      </c>
      <c r="AA14" s="48" t="s">
        <v>220</v>
      </c>
      <c r="AB14" s="48" t="s">
        <v>58</v>
      </c>
      <c r="AC14" s="49" t="s">
        <v>137</v>
      </c>
      <c r="AD14" s="50"/>
      <c r="AE14" s="48" t="s">
        <v>52</v>
      </c>
      <c r="AF14" s="50"/>
      <c r="AG14" s="50"/>
      <c r="AH14" s="28" t="str">
        <f t="shared" si="1"/>
        <v>川向　</v>
      </c>
      <c r="AI14" s="34"/>
      <c r="AJ14" s="34"/>
      <c r="AK14" s="84"/>
      <c r="AN14" s="18"/>
      <c r="AO14" s="8"/>
      <c r="AP14" s="14"/>
    </row>
    <row r="15" spans="1:45" ht="62" customHeight="1">
      <c r="A15" s="39">
        <v>9</v>
      </c>
      <c r="B15" s="45" t="s">
        <v>70</v>
      </c>
      <c r="C15" s="48" t="s">
        <v>218</v>
      </c>
      <c r="D15" s="48" t="s">
        <v>39</v>
      </c>
      <c r="E15" s="48" t="s">
        <v>138</v>
      </c>
      <c r="F15" s="48" t="s">
        <v>140</v>
      </c>
      <c r="G15" s="48" t="s">
        <v>141</v>
      </c>
      <c r="H15" s="49" t="s">
        <v>58</v>
      </c>
      <c r="I15" s="50"/>
      <c r="J15" s="48" t="s">
        <v>41</v>
      </c>
      <c r="K15" s="48" t="s">
        <v>40</v>
      </c>
      <c r="L15" s="48" t="s">
        <v>140</v>
      </c>
      <c r="M15" s="48" t="s">
        <v>217</v>
      </c>
      <c r="N15" s="48" t="s">
        <v>142</v>
      </c>
      <c r="O15" s="49" t="s">
        <v>128</v>
      </c>
      <c r="P15" s="50"/>
      <c r="Q15" s="48" t="s">
        <v>141</v>
      </c>
      <c r="R15" s="48" t="s">
        <v>217</v>
      </c>
      <c r="S15" s="48" t="s">
        <v>138</v>
      </c>
      <c r="T15" s="48" t="s">
        <v>140</v>
      </c>
      <c r="U15" s="48" t="s">
        <v>39</v>
      </c>
      <c r="V15" s="49" t="s">
        <v>58</v>
      </c>
      <c r="W15" s="50"/>
      <c r="X15" s="48" t="s">
        <v>40</v>
      </c>
      <c r="Y15" s="48" t="s">
        <v>142</v>
      </c>
      <c r="Z15" s="48" t="s">
        <v>37</v>
      </c>
      <c r="AA15" s="48" t="s">
        <v>142</v>
      </c>
      <c r="AB15" s="48" t="s">
        <v>38</v>
      </c>
      <c r="AC15" s="49" t="s">
        <v>128</v>
      </c>
      <c r="AD15" s="50"/>
      <c r="AE15" s="48" t="s">
        <v>39</v>
      </c>
      <c r="AF15" s="50"/>
      <c r="AG15" s="50"/>
      <c r="AH15" s="28" t="str">
        <f t="shared" si="1"/>
        <v>渡邉　</v>
      </c>
      <c r="AI15" s="34"/>
      <c r="AJ15" s="34"/>
      <c r="AK15" s="84"/>
      <c r="AN15" s="18" t="s">
        <v>69</v>
      </c>
      <c r="AO15" s="8">
        <v>3</v>
      </c>
      <c r="AP15" s="14"/>
    </row>
    <row r="16" spans="1:45" ht="62" customHeight="1">
      <c r="A16" s="39">
        <v>10</v>
      </c>
      <c r="B16" s="45" t="s">
        <v>71</v>
      </c>
      <c r="C16" s="48" t="s">
        <v>35</v>
      </c>
      <c r="D16" s="48" t="s">
        <v>128</v>
      </c>
      <c r="E16" s="48" t="s">
        <v>309</v>
      </c>
      <c r="F16" s="48" t="s">
        <v>144</v>
      </c>
      <c r="G16" s="48" t="s">
        <v>37</v>
      </c>
      <c r="H16" s="49" t="s">
        <v>128</v>
      </c>
      <c r="I16" s="50"/>
      <c r="J16" s="48" t="s">
        <v>145</v>
      </c>
      <c r="K16" s="48" t="s">
        <v>128</v>
      </c>
      <c r="L16" s="48" t="s">
        <v>35</v>
      </c>
      <c r="M16" s="48" t="s">
        <v>38</v>
      </c>
      <c r="N16" s="48" t="s">
        <v>128</v>
      </c>
      <c r="O16" s="49" t="s">
        <v>217</v>
      </c>
      <c r="P16" s="30" t="s">
        <v>256</v>
      </c>
      <c r="Q16" s="48" t="s">
        <v>33</v>
      </c>
      <c r="R16" s="48" t="s">
        <v>128</v>
      </c>
      <c r="S16" s="30" t="s">
        <v>218</v>
      </c>
      <c r="T16" s="48" t="s">
        <v>33</v>
      </c>
      <c r="U16" s="48" t="s">
        <v>38</v>
      </c>
      <c r="V16" s="49" t="s">
        <v>50</v>
      </c>
      <c r="W16" s="50"/>
      <c r="X16" s="48" t="s">
        <v>128</v>
      </c>
      <c r="Y16" s="48" t="s">
        <v>137</v>
      </c>
      <c r="Z16" s="48" t="s">
        <v>45</v>
      </c>
      <c r="AA16" s="48" t="s">
        <v>128</v>
      </c>
      <c r="AB16" s="52" t="s">
        <v>45</v>
      </c>
      <c r="AC16" s="49" t="s">
        <v>146</v>
      </c>
      <c r="AD16" s="50"/>
      <c r="AE16" s="48" t="s">
        <v>220</v>
      </c>
      <c r="AF16" s="54" t="s">
        <v>274</v>
      </c>
      <c r="AG16" s="50" t="s">
        <v>146</v>
      </c>
      <c r="AH16" s="28" t="str">
        <f t="shared" si="1"/>
        <v>須田　</v>
      </c>
      <c r="AI16" s="34"/>
      <c r="AJ16" s="34"/>
      <c r="AK16" s="84"/>
      <c r="AN16" s="18"/>
      <c r="AO16" s="8"/>
      <c r="AP16" s="14"/>
    </row>
    <row r="17" spans="1:42" ht="62" customHeight="1">
      <c r="A17" s="39">
        <v>11</v>
      </c>
      <c r="B17" s="45" t="s">
        <v>72</v>
      </c>
      <c r="C17" s="48" t="s">
        <v>146</v>
      </c>
      <c r="D17" s="48" t="s">
        <v>58</v>
      </c>
      <c r="E17" s="48" t="s">
        <v>140</v>
      </c>
      <c r="F17" s="48" t="s">
        <v>37</v>
      </c>
      <c r="G17" s="48" t="s">
        <v>218</v>
      </c>
      <c r="H17" s="49" t="s">
        <v>128</v>
      </c>
      <c r="I17" s="50"/>
      <c r="J17" s="52" t="s">
        <v>219</v>
      </c>
      <c r="K17" s="48" t="s">
        <v>146</v>
      </c>
      <c r="L17" s="48" t="s">
        <v>128</v>
      </c>
      <c r="M17" s="48" t="s">
        <v>141</v>
      </c>
      <c r="N17" s="48" t="s">
        <v>45</v>
      </c>
      <c r="O17" s="49" t="s">
        <v>55</v>
      </c>
      <c r="P17" s="50"/>
      <c r="Q17" s="48" t="s">
        <v>43</v>
      </c>
      <c r="R17" s="48" t="s">
        <v>128</v>
      </c>
      <c r="S17" s="48" t="s">
        <v>154</v>
      </c>
      <c r="T17" s="48" t="s">
        <v>141</v>
      </c>
      <c r="U17" s="48" t="s">
        <v>133</v>
      </c>
      <c r="V17" s="49" t="s">
        <v>58</v>
      </c>
      <c r="W17" s="30" t="s">
        <v>256</v>
      </c>
      <c r="X17" s="48" t="s">
        <v>33</v>
      </c>
      <c r="Y17" s="48" t="s">
        <v>58</v>
      </c>
      <c r="Z17" s="48" t="s">
        <v>141</v>
      </c>
      <c r="AA17" s="48" t="s">
        <v>54</v>
      </c>
      <c r="AB17" s="48" t="s">
        <v>134</v>
      </c>
      <c r="AC17" s="49" t="s">
        <v>128</v>
      </c>
      <c r="AD17" s="50"/>
      <c r="AE17" s="48" t="s">
        <v>218</v>
      </c>
      <c r="AF17" s="54" t="s">
        <v>274</v>
      </c>
      <c r="AG17" s="50" t="s">
        <v>146</v>
      </c>
      <c r="AH17" s="28" t="str">
        <f t="shared" si="1"/>
        <v>永井　</v>
      </c>
      <c r="AI17" s="34"/>
      <c r="AJ17" s="34"/>
      <c r="AK17" s="84"/>
      <c r="AN17" s="18" t="s">
        <v>71</v>
      </c>
      <c r="AO17" s="8">
        <v>2</v>
      </c>
      <c r="AP17" s="14"/>
    </row>
    <row r="18" spans="1:42" ht="62" customHeight="1">
      <c r="A18" s="39">
        <v>12</v>
      </c>
      <c r="B18" s="45" t="s">
        <v>73</v>
      </c>
      <c r="C18" s="48" t="s">
        <v>220</v>
      </c>
      <c r="D18" s="30" t="s">
        <v>50</v>
      </c>
      <c r="E18" s="48" t="s">
        <v>146</v>
      </c>
      <c r="F18" s="48" t="s">
        <v>128</v>
      </c>
      <c r="G18" s="48" t="s">
        <v>128</v>
      </c>
      <c r="H18" s="49" t="s">
        <v>50</v>
      </c>
      <c r="I18" s="50"/>
      <c r="J18" s="48" t="s">
        <v>144</v>
      </c>
      <c r="K18" s="48" t="s">
        <v>149</v>
      </c>
      <c r="L18" s="48" t="s">
        <v>35</v>
      </c>
      <c r="M18" s="48" t="s">
        <v>35</v>
      </c>
      <c r="N18" s="48" t="s">
        <v>145</v>
      </c>
      <c r="O18" s="49" t="s">
        <v>35</v>
      </c>
      <c r="P18" s="50"/>
      <c r="Q18" s="48" t="s">
        <v>35</v>
      </c>
      <c r="R18" s="52" t="s">
        <v>50</v>
      </c>
      <c r="S18" s="48" t="s">
        <v>146</v>
      </c>
      <c r="T18" s="48" t="s">
        <v>58</v>
      </c>
      <c r="U18" s="48" t="s">
        <v>137</v>
      </c>
      <c r="V18" s="49" t="s">
        <v>128</v>
      </c>
      <c r="W18" s="50"/>
      <c r="X18" s="48" t="s">
        <v>35</v>
      </c>
      <c r="Y18" s="52" t="s">
        <v>50</v>
      </c>
      <c r="Z18" s="48" t="s">
        <v>146</v>
      </c>
      <c r="AA18" s="48" t="s">
        <v>58</v>
      </c>
      <c r="AB18" s="48" t="s">
        <v>52</v>
      </c>
      <c r="AC18" s="49" t="s">
        <v>130</v>
      </c>
      <c r="AD18" s="50"/>
      <c r="AE18" s="52" t="s">
        <v>144</v>
      </c>
      <c r="AF18" s="50" t="s">
        <v>146</v>
      </c>
      <c r="AG18" s="50"/>
      <c r="AH18" s="28" t="str">
        <f t="shared" si="1"/>
        <v>小野　</v>
      </c>
      <c r="AI18" s="34"/>
      <c r="AJ18" s="34"/>
      <c r="AK18" s="84"/>
      <c r="AN18" s="18" t="s">
        <v>72</v>
      </c>
      <c r="AO18" s="8">
        <v>2</v>
      </c>
      <c r="AP18" s="14"/>
    </row>
    <row r="19" spans="1:42" ht="62" customHeight="1">
      <c r="A19" s="39">
        <v>13</v>
      </c>
      <c r="B19" s="45" t="s">
        <v>74</v>
      </c>
      <c r="C19" s="48" t="s">
        <v>144</v>
      </c>
      <c r="D19" s="48" t="s">
        <v>137</v>
      </c>
      <c r="E19" s="48" t="s">
        <v>38</v>
      </c>
      <c r="F19" s="48" t="s">
        <v>51</v>
      </c>
      <c r="G19" s="48" t="s">
        <v>220</v>
      </c>
      <c r="H19" s="30" t="s">
        <v>217</v>
      </c>
      <c r="I19" s="50" t="s">
        <v>33</v>
      </c>
      <c r="J19" s="48" t="s">
        <v>58</v>
      </c>
      <c r="K19" s="30" t="s">
        <v>144</v>
      </c>
      <c r="L19" s="48" t="s">
        <v>146</v>
      </c>
      <c r="M19" s="48" t="s">
        <v>58</v>
      </c>
      <c r="N19" s="48" t="s">
        <v>51</v>
      </c>
      <c r="O19" s="49" t="s">
        <v>148</v>
      </c>
      <c r="P19" s="50"/>
      <c r="Q19" s="48" t="s">
        <v>51</v>
      </c>
      <c r="R19" s="30" t="s">
        <v>145</v>
      </c>
      <c r="S19" s="48" t="s">
        <v>146</v>
      </c>
      <c r="T19" s="48" t="s">
        <v>58</v>
      </c>
      <c r="U19" s="48" t="s">
        <v>220</v>
      </c>
      <c r="V19" s="49" t="s">
        <v>58</v>
      </c>
      <c r="W19" s="50"/>
      <c r="X19" s="52" t="s">
        <v>50</v>
      </c>
      <c r="Y19" s="48" t="s">
        <v>146</v>
      </c>
      <c r="Z19" s="48" t="s">
        <v>58</v>
      </c>
      <c r="AA19" s="48" t="s">
        <v>220</v>
      </c>
      <c r="AB19" s="48" t="s">
        <v>218</v>
      </c>
      <c r="AC19" s="49" t="s">
        <v>217</v>
      </c>
      <c r="AD19" s="50"/>
      <c r="AE19" s="48" t="s">
        <v>52</v>
      </c>
      <c r="AF19" s="50"/>
      <c r="AG19" s="50"/>
      <c r="AH19" s="28" t="str">
        <f t="shared" si="1"/>
        <v>池谷　</v>
      </c>
      <c r="AI19" s="34"/>
      <c r="AJ19" s="34"/>
      <c r="AK19" s="84"/>
      <c r="AN19" s="18"/>
      <c r="AO19" s="8"/>
      <c r="AP19" s="14"/>
    </row>
    <row r="20" spans="1:42" ht="62" customHeight="1">
      <c r="A20" s="39">
        <v>14</v>
      </c>
      <c r="B20" s="45" t="s">
        <v>75</v>
      </c>
      <c r="C20" s="48" t="s">
        <v>216</v>
      </c>
      <c r="D20" s="48" t="s">
        <v>35</v>
      </c>
      <c r="E20" s="48" t="s">
        <v>38</v>
      </c>
      <c r="F20" s="48" t="s">
        <v>35</v>
      </c>
      <c r="G20" s="48" t="s">
        <v>35</v>
      </c>
      <c r="H20" s="49" t="s">
        <v>35</v>
      </c>
      <c r="I20" s="50"/>
      <c r="J20" s="48" t="s">
        <v>36</v>
      </c>
      <c r="K20" s="48" t="s">
        <v>58</v>
      </c>
      <c r="L20" s="48" t="s">
        <v>217</v>
      </c>
      <c r="M20" s="48" t="s">
        <v>221</v>
      </c>
      <c r="N20" s="48" t="s">
        <v>37</v>
      </c>
      <c r="O20" s="49" t="s">
        <v>35</v>
      </c>
      <c r="P20" s="50"/>
      <c r="Q20" s="48" t="s">
        <v>217</v>
      </c>
      <c r="R20" s="48" t="s">
        <v>58</v>
      </c>
      <c r="S20" s="48" t="s">
        <v>130</v>
      </c>
      <c r="T20" s="48" t="s">
        <v>37</v>
      </c>
      <c r="U20" s="48" t="s">
        <v>35</v>
      </c>
      <c r="V20" s="49" t="s">
        <v>128</v>
      </c>
      <c r="W20" s="50"/>
      <c r="X20" s="48" t="s">
        <v>249</v>
      </c>
      <c r="Y20" s="48" t="s">
        <v>35</v>
      </c>
      <c r="Z20" s="48" t="s">
        <v>128</v>
      </c>
      <c r="AA20" s="48" t="s">
        <v>37</v>
      </c>
      <c r="AB20" s="48" t="s">
        <v>37</v>
      </c>
      <c r="AC20" s="49" t="s">
        <v>35</v>
      </c>
      <c r="AD20" s="50"/>
      <c r="AE20" s="48" t="s">
        <v>217</v>
      </c>
      <c r="AF20" s="50"/>
      <c r="AG20" s="50"/>
      <c r="AH20" s="28" t="str">
        <f t="shared" si="1"/>
        <v>下田　</v>
      </c>
      <c r="AI20" s="34"/>
      <c r="AJ20" s="34"/>
      <c r="AK20" s="84"/>
      <c r="AN20" s="18" t="s">
        <v>74</v>
      </c>
      <c r="AO20" s="8">
        <v>2</v>
      </c>
      <c r="AP20" s="14"/>
    </row>
    <row r="21" spans="1:42" ht="62" customHeight="1">
      <c r="A21" s="39">
        <v>15</v>
      </c>
      <c r="B21" s="45" t="s">
        <v>76</v>
      </c>
      <c r="C21" s="30" t="s">
        <v>54</v>
      </c>
      <c r="D21" s="48" t="s">
        <v>146</v>
      </c>
      <c r="E21" s="48" t="s">
        <v>58</v>
      </c>
      <c r="F21" s="48" t="s">
        <v>38</v>
      </c>
      <c r="G21" s="48" t="s">
        <v>144</v>
      </c>
      <c r="H21" s="49" t="s">
        <v>142</v>
      </c>
      <c r="I21" s="50"/>
      <c r="J21" s="48" t="s">
        <v>134</v>
      </c>
      <c r="K21" s="48" t="s">
        <v>141</v>
      </c>
      <c r="L21" s="55" t="s">
        <v>51</v>
      </c>
      <c r="M21" s="48" t="s">
        <v>48</v>
      </c>
      <c r="N21" s="48" t="s">
        <v>35</v>
      </c>
      <c r="O21" s="49" t="s">
        <v>128</v>
      </c>
      <c r="P21" s="50"/>
      <c r="Q21" s="48" t="s">
        <v>133</v>
      </c>
      <c r="R21" s="48" t="s">
        <v>220</v>
      </c>
      <c r="S21" s="30" t="s">
        <v>144</v>
      </c>
      <c r="T21" s="48" t="s">
        <v>146</v>
      </c>
      <c r="U21" s="48" t="s">
        <v>58</v>
      </c>
      <c r="V21" s="49" t="s">
        <v>222</v>
      </c>
      <c r="W21" s="50"/>
      <c r="X21" s="48" t="s">
        <v>35</v>
      </c>
      <c r="Y21" s="48" t="s">
        <v>141</v>
      </c>
      <c r="Z21" s="48" t="s">
        <v>133</v>
      </c>
      <c r="AA21" s="48" t="s">
        <v>144</v>
      </c>
      <c r="AB21" s="48" t="s">
        <v>128</v>
      </c>
      <c r="AC21" s="49" t="s">
        <v>140</v>
      </c>
      <c r="AD21" s="50"/>
      <c r="AE21" s="52" t="s">
        <v>54</v>
      </c>
      <c r="AF21" s="50" t="s">
        <v>146</v>
      </c>
      <c r="AG21" s="50"/>
      <c r="AH21" s="28" t="str">
        <f t="shared" si="1"/>
        <v>白倉　</v>
      </c>
      <c r="AI21" s="34"/>
      <c r="AJ21" s="34"/>
      <c r="AK21" s="84"/>
      <c r="AN21" s="18"/>
      <c r="AO21" s="8"/>
      <c r="AP21" s="14"/>
    </row>
    <row r="22" spans="1:42" ht="62" customHeight="1">
      <c r="A22" s="39">
        <v>16</v>
      </c>
      <c r="B22" s="45" t="s">
        <v>77</v>
      </c>
      <c r="C22" s="48" t="s">
        <v>138</v>
      </c>
      <c r="D22" s="48" t="s">
        <v>273</v>
      </c>
      <c r="E22" s="48" t="s">
        <v>273</v>
      </c>
      <c r="F22" s="48" t="s">
        <v>273</v>
      </c>
      <c r="G22" s="48" t="s">
        <v>128</v>
      </c>
      <c r="H22" s="56" t="s">
        <v>44</v>
      </c>
      <c r="I22" s="50"/>
      <c r="J22" s="48" t="s">
        <v>35</v>
      </c>
      <c r="K22" s="48" t="s">
        <v>133</v>
      </c>
      <c r="L22" s="48" t="s">
        <v>53</v>
      </c>
      <c r="M22" s="48" t="s">
        <v>35</v>
      </c>
      <c r="N22" s="57" t="s">
        <v>44</v>
      </c>
      <c r="O22" s="49" t="s">
        <v>222</v>
      </c>
      <c r="P22" s="30" t="s">
        <v>256</v>
      </c>
      <c r="Q22" s="48" t="s">
        <v>33</v>
      </c>
      <c r="R22" s="48" t="s">
        <v>58</v>
      </c>
      <c r="S22" s="48" t="s">
        <v>137</v>
      </c>
      <c r="T22" s="48" t="s">
        <v>148</v>
      </c>
      <c r="U22" s="52" t="s">
        <v>53</v>
      </c>
      <c r="V22" s="49" t="s">
        <v>146</v>
      </c>
      <c r="W22" s="50"/>
      <c r="X22" s="48" t="s">
        <v>133</v>
      </c>
      <c r="Y22" s="30" t="s">
        <v>130</v>
      </c>
      <c r="Z22" s="48" t="s">
        <v>33</v>
      </c>
      <c r="AA22" s="48" t="s">
        <v>58</v>
      </c>
      <c r="AB22" s="48" t="s">
        <v>133</v>
      </c>
      <c r="AC22" s="49" t="s">
        <v>132</v>
      </c>
      <c r="AD22" s="50"/>
      <c r="AE22" s="48" t="s">
        <v>128</v>
      </c>
      <c r="AF22" s="50"/>
      <c r="AG22" s="50"/>
      <c r="AH22" s="28" t="str">
        <f t="shared" si="1"/>
        <v>増田　</v>
      </c>
      <c r="AI22" s="34"/>
      <c r="AJ22" s="34"/>
      <c r="AK22" s="84"/>
      <c r="AN22" s="18" t="s">
        <v>76</v>
      </c>
      <c r="AO22" s="8">
        <v>2</v>
      </c>
      <c r="AP22" s="14"/>
    </row>
    <row r="23" spans="1:42" ht="62" customHeight="1">
      <c r="A23" s="39">
        <v>17</v>
      </c>
      <c r="B23" s="45" t="s">
        <v>78</v>
      </c>
      <c r="C23" s="52" t="s">
        <v>50</v>
      </c>
      <c r="D23" s="48" t="s">
        <v>146</v>
      </c>
      <c r="E23" s="48" t="s">
        <v>58</v>
      </c>
      <c r="F23" s="48" t="s">
        <v>138</v>
      </c>
      <c r="G23" s="48" t="s">
        <v>35</v>
      </c>
      <c r="H23" s="49" t="s">
        <v>149</v>
      </c>
      <c r="I23" s="50"/>
      <c r="J23" s="48" t="s">
        <v>145</v>
      </c>
      <c r="K23" s="48" t="s">
        <v>51</v>
      </c>
      <c r="L23" s="48" t="s">
        <v>41</v>
      </c>
      <c r="M23" s="48" t="s">
        <v>128</v>
      </c>
      <c r="N23" s="48" t="s">
        <v>54</v>
      </c>
      <c r="O23" s="49" t="s">
        <v>130</v>
      </c>
      <c r="P23" s="30" t="s">
        <v>256</v>
      </c>
      <c r="Q23" s="48" t="s">
        <v>33</v>
      </c>
      <c r="R23" s="48" t="s">
        <v>58</v>
      </c>
      <c r="S23" s="48" t="s">
        <v>129</v>
      </c>
      <c r="T23" s="48" t="s">
        <v>128</v>
      </c>
      <c r="U23" s="48" t="s">
        <v>35</v>
      </c>
      <c r="V23" s="49" t="s">
        <v>132</v>
      </c>
      <c r="W23" s="50"/>
      <c r="X23" s="48" t="s">
        <v>128</v>
      </c>
      <c r="Y23" s="48" t="s">
        <v>133</v>
      </c>
      <c r="Z23" s="48" t="s">
        <v>138</v>
      </c>
      <c r="AA23" s="48" t="s">
        <v>148</v>
      </c>
      <c r="AB23" s="52" t="s">
        <v>130</v>
      </c>
      <c r="AC23" s="49" t="s">
        <v>146</v>
      </c>
      <c r="AD23" s="50"/>
      <c r="AE23" s="48" t="s">
        <v>41</v>
      </c>
      <c r="AF23" s="50"/>
      <c r="AG23" s="50"/>
      <c r="AH23" s="28" t="str">
        <f t="shared" si="1"/>
        <v>小川　</v>
      </c>
      <c r="AI23" s="34"/>
      <c r="AJ23" s="34" t="s">
        <v>37</v>
      </c>
      <c r="AK23" s="84"/>
      <c r="AN23" s="18"/>
      <c r="AO23" s="8"/>
      <c r="AP23" s="14"/>
    </row>
    <row r="24" spans="1:42" ht="62" customHeight="1">
      <c r="A24" s="39">
        <v>18</v>
      </c>
      <c r="B24" s="45" t="s">
        <v>79</v>
      </c>
      <c r="C24" s="48" t="s">
        <v>38</v>
      </c>
      <c r="D24" s="48" t="s">
        <v>37</v>
      </c>
      <c r="E24" s="48" t="s">
        <v>130</v>
      </c>
      <c r="F24" s="48" t="s">
        <v>216</v>
      </c>
      <c r="G24" s="48" t="s">
        <v>133</v>
      </c>
      <c r="H24" s="49" t="s">
        <v>35</v>
      </c>
      <c r="I24" s="50"/>
      <c r="J24" s="48" t="s">
        <v>217</v>
      </c>
      <c r="K24" s="48" t="s">
        <v>144</v>
      </c>
      <c r="L24" s="30" t="s">
        <v>218</v>
      </c>
      <c r="M24" s="48" t="s">
        <v>146</v>
      </c>
      <c r="N24" s="48" t="s">
        <v>128</v>
      </c>
      <c r="O24" s="49" t="s">
        <v>58</v>
      </c>
      <c r="P24" s="50"/>
      <c r="Q24" s="48" t="s">
        <v>128</v>
      </c>
      <c r="R24" s="48" t="s">
        <v>144</v>
      </c>
      <c r="S24" s="48" t="s">
        <v>37</v>
      </c>
      <c r="T24" s="48" t="s">
        <v>35</v>
      </c>
      <c r="U24" s="48" t="s">
        <v>36</v>
      </c>
      <c r="V24" s="49" t="s">
        <v>58</v>
      </c>
      <c r="W24" s="30" t="s">
        <v>256</v>
      </c>
      <c r="X24" s="48" t="s">
        <v>33</v>
      </c>
      <c r="Y24" s="48" t="s">
        <v>58</v>
      </c>
      <c r="Z24" s="48" t="s">
        <v>35</v>
      </c>
      <c r="AA24" s="48" t="s">
        <v>145</v>
      </c>
      <c r="AB24" s="48" t="s">
        <v>141</v>
      </c>
      <c r="AC24" s="49" t="s">
        <v>58</v>
      </c>
      <c r="AD24" s="50"/>
      <c r="AE24" s="48" t="s">
        <v>128</v>
      </c>
      <c r="AF24" s="54" t="s">
        <v>274</v>
      </c>
      <c r="AG24" s="50" t="s">
        <v>146</v>
      </c>
      <c r="AH24" s="28" t="str">
        <f t="shared" si="1"/>
        <v>清水　</v>
      </c>
      <c r="AI24" s="34"/>
      <c r="AJ24" s="34"/>
      <c r="AK24" s="84"/>
      <c r="AN24" s="18" t="s">
        <v>78</v>
      </c>
      <c r="AO24" s="8">
        <v>2</v>
      </c>
      <c r="AP24" s="14"/>
    </row>
    <row r="25" spans="1:42" ht="62" customHeight="1">
      <c r="A25" s="39">
        <v>19</v>
      </c>
      <c r="B25" s="45" t="s">
        <v>80</v>
      </c>
      <c r="C25" s="48" t="s">
        <v>48</v>
      </c>
      <c r="D25" s="48" t="s">
        <v>133</v>
      </c>
      <c r="E25" s="30" t="s">
        <v>38</v>
      </c>
      <c r="F25" s="48" t="s">
        <v>146</v>
      </c>
      <c r="G25" s="48" t="s">
        <v>58</v>
      </c>
      <c r="H25" s="49" t="s">
        <v>138</v>
      </c>
      <c r="I25" s="50"/>
      <c r="J25" s="48" t="s">
        <v>137</v>
      </c>
      <c r="K25" s="48" t="s">
        <v>132</v>
      </c>
      <c r="L25" s="48" t="s">
        <v>142</v>
      </c>
      <c r="M25" s="48" t="s">
        <v>133</v>
      </c>
      <c r="N25" s="48" t="s">
        <v>55</v>
      </c>
      <c r="O25" s="49" t="s">
        <v>140</v>
      </c>
      <c r="P25" s="50"/>
      <c r="Q25" s="48" t="s">
        <v>128</v>
      </c>
      <c r="R25" s="48" t="s">
        <v>40</v>
      </c>
      <c r="S25" s="48" t="s">
        <v>40</v>
      </c>
      <c r="T25" s="48" t="s">
        <v>54</v>
      </c>
      <c r="U25" s="48" t="s">
        <v>137</v>
      </c>
      <c r="V25" s="49" t="s">
        <v>58</v>
      </c>
      <c r="W25" s="30" t="s">
        <v>256</v>
      </c>
      <c r="X25" s="48" t="s">
        <v>33</v>
      </c>
      <c r="Y25" s="48" t="s">
        <v>58</v>
      </c>
      <c r="Z25" s="48" t="s">
        <v>35</v>
      </c>
      <c r="AA25" s="48" t="s">
        <v>141</v>
      </c>
      <c r="AB25" s="48" t="s">
        <v>128</v>
      </c>
      <c r="AC25" s="49" t="s">
        <v>128</v>
      </c>
      <c r="AD25" s="30" t="s">
        <v>256</v>
      </c>
      <c r="AE25" s="48" t="s">
        <v>33</v>
      </c>
      <c r="AF25" s="50"/>
      <c r="AG25" s="50"/>
      <c r="AH25" s="28" t="str">
        <f t="shared" si="1"/>
        <v>橋本　</v>
      </c>
      <c r="AI25" s="34"/>
      <c r="AJ25" s="34"/>
      <c r="AK25" s="84"/>
      <c r="AN25" s="18" t="s">
        <v>147</v>
      </c>
      <c r="AO25" s="8">
        <v>3</v>
      </c>
      <c r="AP25" s="14"/>
    </row>
    <row r="26" spans="1:42" ht="62" customHeight="1">
      <c r="A26" s="39">
        <v>20</v>
      </c>
      <c r="B26" s="45" t="s">
        <v>81</v>
      </c>
      <c r="C26" s="48" t="s">
        <v>128</v>
      </c>
      <c r="D26" s="48" t="s">
        <v>48</v>
      </c>
      <c r="E26" s="48" t="s">
        <v>35</v>
      </c>
      <c r="F26" s="48" t="s">
        <v>145</v>
      </c>
      <c r="G26" s="48" t="s">
        <v>145</v>
      </c>
      <c r="H26" s="49" t="s">
        <v>283</v>
      </c>
      <c r="I26" s="50"/>
      <c r="J26" s="58" t="s">
        <v>44</v>
      </c>
      <c r="K26" s="48" t="s">
        <v>146</v>
      </c>
      <c r="L26" s="48" t="s">
        <v>58</v>
      </c>
      <c r="M26" s="48" t="s">
        <v>52</v>
      </c>
      <c r="N26" s="48" t="s">
        <v>145</v>
      </c>
      <c r="O26" s="49" t="s">
        <v>128</v>
      </c>
      <c r="P26" s="50"/>
      <c r="Q26" s="52" t="s">
        <v>50</v>
      </c>
      <c r="R26" s="48" t="s">
        <v>146</v>
      </c>
      <c r="S26" s="48" t="s">
        <v>58</v>
      </c>
      <c r="T26" s="48" t="s">
        <v>137</v>
      </c>
      <c r="U26" s="48" t="s">
        <v>144</v>
      </c>
      <c r="V26" s="49" t="s">
        <v>58</v>
      </c>
      <c r="W26" s="50"/>
      <c r="X26" s="48" t="s">
        <v>220</v>
      </c>
      <c r="Y26" s="48" t="s">
        <v>44</v>
      </c>
      <c r="Z26" s="48" t="s">
        <v>49</v>
      </c>
      <c r="AA26" s="48" t="s">
        <v>145</v>
      </c>
      <c r="AB26" s="48" t="s">
        <v>148</v>
      </c>
      <c r="AC26" s="52" t="s">
        <v>50</v>
      </c>
      <c r="AD26" s="50" t="s">
        <v>146</v>
      </c>
      <c r="AE26" s="48" t="s">
        <v>58</v>
      </c>
      <c r="AF26" s="50"/>
      <c r="AG26" s="54" t="s">
        <v>274</v>
      </c>
      <c r="AH26" s="28" t="str">
        <f t="shared" si="1"/>
        <v>原田　</v>
      </c>
      <c r="AI26" s="34"/>
      <c r="AJ26" s="34"/>
      <c r="AK26" s="84"/>
      <c r="AN26" s="18" t="s">
        <v>79</v>
      </c>
      <c r="AO26" s="8">
        <v>2</v>
      </c>
      <c r="AP26" s="14"/>
    </row>
    <row r="27" spans="1:42" ht="62" customHeight="1">
      <c r="A27" s="39">
        <v>21</v>
      </c>
      <c r="B27" s="45" t="s">
        <v>83</v>
      </c>
      <c r="C27" s="48" t="s">
        <v>146</v>
      </c>
      <c r="D27" s="48" t="s">
        <v>58</v>
      </c>
      <c r="E27" s="48" t="s">
        <v>82</v>
      </c>
      <c r="F27" s="48" t="s">
        <v>143</v>
      </c>
      <c r="G27" s="48" t="s">
        <v>50</v>
      </c>
      <c r="H27" s="49" t="s">
        <v>284</v>
      </c>
      <c r="I27" s="30" t="s">
        <v>32</v>
      </c>
      <c r="J27" s="48" t="s">
        <v>146</v>
      </c>
      <c r="K27" s="48" t="s">
        <v>38</v>
      </c>
      <c r="L27" s="48" t="s">
        <v>137</v>
      </c>
      <c r="M27" s="52" t="s">
        <v>271</v>
      </c>
      <c r="N27" s="48" t="s">
        <v>146</v>
      </c>
      <c r="O27" s="49" t="s">
        <v>317</v>
      </c>
      <c r="P27" s="50"/>
      <c r="Q27" s="52" t="s">
        <v>144</v>
      </c>
      <c r="R27" s="48" t="s">
        <v>146</v>
      </c>
      <c r="S27" s="48" t="s">
        <v>58</v>
      </c>
      <c r="T27" s="48" t="s">
        <v>137</v>
      </c>
      <c r="U27" s="48" t="s">
        <v>149</v>
      </c>
      <c r="V27" s="49" t="s">
        <v>58</v>
      </c>
      <c r="W27" s="50"/>
      <c r="X27" s="48" t="s">
        <v>144</v>
      </c>
      <c r="Y27" s="48" t="s">
        <v>145</v>
      </c>
      <c r="Z27" s="31" t="s">
        <v>44</v>
      </c>
      <c r="AA27" s="48" t="s">
        <v>33</v>
      </c>
      <c r="AB27" s="48" t="s">
        <v>220</v>
      </c>
      <c r="AC27" s="49" t="s">
        <v>145</v>
      </c>
      <c r="AD27" s="50"/>
      <c r="AE27" s="48" t="s">
        <v>302</v>
      </c>
      <c r="AF27" s="50"/>
      <c r="AG27" s="50"/>
      <c r="AH27" s="28" t="str">
        <f t="shared" si="1"/>
        <v>箕輪　</v>
      </c>
      <c r="AI27" s="34"/>
      <c r="AJ27" s="34"/>
      <c r="AK27" s="84"/>
      <c r="AN27" s="18" t="s">
        <v>80</v>
      </c>
      <c r="AO27" s="8">
        <v>2</v>
      </c>
      <c r="AP27" s="14"/>
    </row>
    <row r="28" spans="1:42" ht="62" customHeight="1">
      <c r="A28" s="39">
        <v>22</v>
      </c>
      <c r="B28" s="45" t="s">
        <v>84</v>
      </c>
      <c r="C28" s="48" t="s">
        <v>128</v>
      </c>
      <c r="D28" s="48" t="s">
        <v>137</v>
      </c>
      <c r="E28" s="48" t="s">
        <v>144</v>
      </c>
      <c r="F28" s="48" t="s">
        <v>38</v>
      </c>
      <c r="G28" s="30" t="s">
        <v>220</v>
      </c>
      <c r="H28" s="49" t="s">
        <v>146</v>
      </c>
      <c r="I28" s="50"/>
      <c r="J28" s="48" t="s">
        <v>35</v>
      </c>
      <c r="K28" s="48" t="s">
        <v>48</v>
      </c>
      <c r="L28" s="48" t="s">
        <v>58</v>
      </c>
      <c r="M28" s="48" t="s">
        <v>137</v>
      </c>
      <c r="N28" s="48" t="s">
        <v>144</v>
      </c>
      <c r="O28" s="49" t="s">
        <v>218</v>
      </c>
      <c r="P28" s="50"/>
      <c r="Q28" s="48" t="s">
        <v>145</v>
      </c>
      <c r="R28" s="48" t="s">
        <v>143</v>
      </c>
      <c r="S28" s="58" t="s">
        <v>44</v>
      </c>
      <c r="T28" s="48" t="s">
        <v>146</v>
      </c>
      <c r="U28" s="48" t="s">
        <v>58</v>
      </c>
      <c r="V28" s="49" t="s">
        <v>58</v>
      </c>
      <c r="W28" s="50"/>
      <c r="X28" s="48" t="s">
        <v>137</v>
      </c>
      <c r="Y28" s="48" t="s">
        <v>218</v>
      </c>
      <c r="Z28" s="52" t="s">
        <v>220</v>
      </c>
      <c r="AA28" s="48" t="s">
        <v>146</v>
      </c>
      <c r="AB28" s="48" t="s">
        <v>58</v>
      </c>
      <c r="AC28" s="49" t="s">
        <v>38</v>
      </c>
      <c r="AD28" s="50"/>
      <c r="AE28" s="48" t="s">
        <v>48</v>
      </c>
      <c r="AF28" s="50"/>
      <c r="AG28" s="54" t="s">
        <v>274</v>
      </c>
      <c r="AH28" s="28" t="str">
        <f t="shared" si="1"/>
        <v>石井　</v>
      </c>
      <c r="AI28" s="34"/>
      <c r="AJ28" s="34"/>
      <c r="AK28" s="84"/>
      <c r="AN28" s="18" t="s">
        <v>81</v>
      </c>
      <c r="AO28" s="8">
        <v>2</v>
      </c>
      <c r="AP28" s="14"/>
    </row>
    <row r="29" spans="1:42" ht="62" customHeight="1">
      <c r="A29" s="39">
        <v>23</v>
      </c>
      <c r="B29" s="45" t="s">
        <v>85</v>
      </c>
      <c r="C29" s="48" t="s">
        <v>267</v>
      </c>
      <c r="D29" s="48" t="s">
        <v>61</v>
      </c>
      <c r="E29" s="48" t="s">
        <v>61</v>
      </c>
      <c r="F29" s="48" t="s">
        <v>61</v>
      </c>
      <c r="G29" s="48" t="s">
        <v>61</v>
      </c>
      <c r="H29" s="49" t="s">
        <v>61</v>
      </c>
      <c r="I29" s="50"/>
      <c r="J29" s="48" t="s">
        <v>61</v>
      </c>
      <c r="K29" s="48" t="s">
        <v>61</v>
      </c>
      <c r="L29" s="48" t="s">
        <v>61</v>
      </c>
      <c r="M29" s="48" t="s">
        <v>61</v>
      </c>
      <c r="N29" s="48" t="s">
        <v>61</v>
      </c>
      <c r="O29" s="49" t="s">
        <v>61</v>
      </c>
      <c r="P29" s="50"/>
      <c r="Q29" s="48" t="s">
        <v>61</v>
      </c>
      <c r="R29" s="48" t="s">
        <v>61</v>
      </c>
      <c r="S29" s="48" t="s">
        <v>61</v>
      </c>
      <c r="T29" s="48" t="s">
        <v>61</v>
      </c>
      <c r="U29" s="48" t="s">
        <v>61</v>
      </c>
      <c r="V29" s="49" t="s">
        <v>61</v>
      </c>
      <c r="W29" s="50"/>
      <c r="X29" s="48" t="s">
        <v>61</v>
      </c>
      <c r="Y29" s="48" t="s">
        <v>61</v>
      </c>
      <c r="Z29" s="48" t="s">
        <v>61</v>
      </c>
      <c r="AA29" s="48" t="s">
        <v>61</v>
      </c>
      <c r="AB29" s="48" t="s">
        <v>61</v>
      </c>
      <c r="AC29" s="49" t="s">
        <v>61</v>
      </c>
      <c r="AD29" s="50"/>
      <c r="AE29" s="48" t="s">
        <v>61</v>
      </c>
      <c r="AF29" s="50"/>
      <c r="AG29" s="50"/>
      <c r="AH29" s="28" t="str">
        <f t="shared" si="1"/>
        <v>森　</v>
      </c>
      <c r="AI29" s="34"/>
      <c r="AJ29" s="34"/>
      <c r="AK29" s="84"/>
      <c r="AN29" s="18" t="s">
        <v>83</v>
      </c>
      <c r="AO29" s="8">
        <v>2</v>
      </c>
      <c r="AP29" s="14"/>
    </row>
    <row r="30" spans="1:42" ht="62" customHeight="1">
      <c r="A30" s="39">
        <v>24</v>
      </c>
      <c r="B30" s="45" t="s">
        <v>86</v>
      </c>
      <c r="C30" s="48" t="s">
        <v>146</v>
      </c>
      <c r="D30" s="48" t="s">
        <v>58</v>
      </c>
      <c r="E30" s="48" t="s">
        <v>141</v>
      </c>
      <c r="F30" s="52" t="s">
        <v>130</v>
      </c>
      <c r="G30" s="48" t="s">
        <v>146</v>
      </c>
      <c r="H30" s="49" t="s">
        <v>58</v>
      </c>
      <c r="I30" s="50"/>
      <c r="J30" s="48" t="s">
        <v>133</v>
      </c>
      <c r="K30" s="48" t="s">
        <v>35</v>
      </c>
      <c r="L30" s="48" t="s">
        <v>141</v>
      </c>
      <c r="M30" s="51" t="s">
        <v>145</v>
      </c>
      <c r="N30" s="48" t="s">
        <v>138</v>
      </c>
      <c r="O30" s="49" t="s">
        <v>58</v>
      </c>
      <c r="P30" s="50"/>
      <c r="Q30" s="48" t="s">
        <v>218</v>
      </c>
      <c r="R30" s="48" t="s">
        <v>55</v>
      </c>
      <c r="S30" s="48" t="s">
        <v>148</v>
      </c>
      <c r="T30" s="52" t="s">
        <v>41</v>
      </c>
      <c r="U30" s="48" t="s">
        <v>146</v>
      </c>
      <c r="V30" s="49" t="s">
        <v>58</v>
      </c>
      <c r="W30" s="50"/>
      <c r="X30" s="48" t="s">
        <v>141</v>
      </c>
      <c r="Y30" s="48" t="s">
        <v>55</v>
      </c>
      <c r="Z30" s="48" t="s">
        <v>139</v>
      </c>
      <c r="AA30" s="48" t="s">
        <v>134</v>
      </c>
      <c r="AB30" s="48" t="s">
        <v>35</v>
      </c>
      <c r="AC30" s="52" t="s">
        <v>55</v>
      </c>
      <c r="AD30" s="50" t="s">
        <v>146</v>
      </c>
      <c r="AE30" s="48" t="s">
        <v>58</v>
      </c>
      <c r="AF30" s="50"/>
      <c r="AG30" s="50"/>
      <c r="AH30" s="28" t="str">
        <f t="shared" si="1"/>
        <v>川名　</v>
      </c>
      <c r="AI30" s="34"/>
      <c r="AJ30" s="34"/>
      <c r="AK30" s="84"/>
      <c r="AN30" s="18" t="s">
        <v>84</v>
      </c>
      <c r="AO30" s="8">
        <v>2</v>
      </c>
      <c r="AP30" s="14"/>
    </row>
    <row r="31" spans="1:42" ht="62" customHeight="1">
      <c r="A31" s="39">
        <v>25</v>
      </c>
      <c r="B31" s="45" t="s">
        <v>87</v>
      </c>
      <c r="C31" s="48" t="s">
        <v>218</v>
      </c>
      <c r="D31" s="48" t="s">
        <v>51</v>
      </c>
      <c r="E31" s="30" t="s">
        <v>35</v>
      </c>
      <c r="F31" s="48" t="s">
        <v>146</v>
      </c>
      <c r="G31" s="48" t="s">
        <v>128</v>
      </c>
      <c r="H31" s="49" t="s">
        <v>145</v>
      </c>
      <c r="I31" s="50"/>
      <c r="J31" s="48" t="s">
        <v>48</v>
      </c>
      <c r="K31" s="48" t="s">
        <v>137</v>
      </c>
      <c r="L31" s="59" t="s">
        <v>50</v>
      </c>
      <c r="M31" s="60" t="s">
        <v>44</v>
      </c>
      <c r="N31" s="59" t="s">
        <v>38</v>
      </c>
      <c r="O31" s="30" t="s">
        <v>44</v>
      </c>
      <c r="P31" s="50" t="s">
        <v>33</v>
      </c>
      <c r="Q31" s="48" t="s">
        <v>58</v>
      </c>
      <c r="R31" s="48" t="s">
        <v>38</v>
      </c>
      <c r="S31" s="59" t="s">
        <v>145</v>
      </c>
      <c r="T31" s="48" t="s">
        <v>51</v>
      </c>
      <c r="U31" s="48" t="s">
        <v>128</v>
      </c>
      <c r="V31" s="49" t="s">
        <v>128</v>
      </c>
      <c r="W31" s="50"/>
      <c r="X31" s="48" t="s">
        <v>145</v>
      </c>
      <c r="Y31" s="48" t="s">
        <v>128</v>
      </c>
      <c r="Z31" s="48" t="s">
        <v>148</v>
      </c>
      <c r="AA31" s="48" t="s">
        <v>220</v>
      </c>
      <c r="AB31" s="48" t="s">
        <v>145</v>
      </c>
      <c r="AC31" s="49" t="s">
        <v>128</v>
      </c>
      <c r="AD31" s="50"/>
      <c r="AE31" s="52" t="s">
        <v>218</v>
      </c>
      <c r="AF31" s="50" t="s">
        <v>146</v>
      </c>
      <c r="AG31" s="50"/>
      <c r="AH31" s="28" t="str">
        <f t="shared" si="1"/>
        <v>大島　</v>
      </c>
      <c r="AI31" s="34"/>
      <c r="AJ31" s="34"/>
      <c r="AK31" s="84"/>
      <c r="AN31" s="18" t="s">
        <v>214</v>
      </c>
      <c r="AO31" s="8">
        <v>2</v>
      </c>
      <c r="AP31" s="14"/>
    </row>
    <row r="32" spans="1:42" ht="62" customHeight="1">
      <c r="A32" s="39">
        <v>26</v>
      </c>
      <c r="B32" s="45" t="s">
        <v>88</v>
      </c>
      <c r="C32" s="48" t="s">
        <v>128</v>
      </c>
      <c r="D32" s="48" t="s">
        <v>144</v>
      </c>
      <c r="E32" s="57" t="s">
        <v>44</v>
      </c>
      <c r="F32" s="48" t="s">
        <v>35</v>
      </c>
      <c r="G32" s="52" t="s">
        <v>44</v>
      </c>
      <c r="H32" s="49" t="s">
        <v>146</v>
      </c>
      <c r="I32" s="50"/>
      <c r="J32" s="48" t="s">
        <v>128</v>
      </c>
      <c r="K32" s="48" t="s">
        <v>137</v>
      </c>
      <c r="L32" s="48" t="s">
        <v>130</v>
      </c>
      <c r="M32" s="48" t="s">
        <v>143</v>
      </c>
      <c r="N32" s="48" t="s">
        <v>257</v>
      </c>
      <c r="O32" s="49" t="s">
        <v>128</v>
      </c>
      <c r="P32" s="50"/>
      <c r="Q32" s="48" t="s">
        <v>149</v>
      </c>
      <c r="R32" s="48" t="s">
        <v>144</v>
      </c>
      <c r="S32" s="48" t="s">
        <v>38</v>
      </c>
      <c r="T32" s="48" t="s">
        <v>49</v>
      </c>
      <c r="U32" s="48" t="s">
        <v>35</v>
      </c>
      <c r="V32" s="49" t="s">
        <v>128</v>
      </c>
      <c r="W32" s="50"/>
      <c r="X32" s="57" t="s">
        <v>44</v>
      </c>
      <c r="Y32" s="48" t="s">
        <v>137</v>
      </c>
      <c r="Z32" s="48" t="s">
        <v>38</v>
      </c>
      <c r="AA32" s="48" t="s">
        <v>35</v>
      </c>
      <c r="AB32" s="48" t="s">
        <v>38</v>
      </c>
      <c r="AC32" s="49" t="s">
        <v>128</v>
      </c>
      <c r="AD32" s="50"/>
      <c r="AE32" s="57" t="s">
        <v>257</v>
      </c>
      <c r="AF32" s="50"/>
      <c r="AG32" s="54" t="s">
        <v>274</v>
      </c>
      <c r="AH32" s="28" t="str">
        <f t="shared" si="1"/>
        <v>児玉　</v>
      </c>
      <c r="AI32" s="34"/>
      <c r="AJ32" s="34"/>
      <c r="AK32" s="84"/>
      <c r="AN32" s="18" t="s">
        <v>85</v>
      </c>
      <c r="AO32" s="8">
        <v>3</v>
      </c>
      <c r="AP32" s="14"/>
    </row>
    <row r="33" spans="1:42" ht="62" customHeight="1">
      <c r="A33" s="39">
        <v>27</v>
      </c>
      <c r="B33" s="45" t="s">
        <v>89</v>
      </c>
      <c r="C33" s="57" t="s">
        <v>257</v>
      </c>
      <c r="D33" s="48" t="s">
        <v>35</v>
      </c>
      <c r="E33" s="30" t="s">
        <v>52</v>
      </c>
      <c r="F33" s="48" t="s">
        <v>146</v>
      </c>
      <c r="G33" s="48" t="s">
        <v>58</v>
      </c>
      <c r="H33" s="49" t="s">
        <v>46</v>
      </c>
      <c r="I33" s="50"/>
      <c r="J33" s="48" t="s">
        <v>220</v>
      </c>
      <c r="K33" s="48" t="s">
        <v>218</v>
      </c>
      <c r="L33" s="48" t="s">
        <v>144</v>
      </c>
      <c r="M33" s="48" t="s">
        <v>220</v>
      </c>
      <c r="N33" s="48" t="s">
        <v>128</v>
      </c>
      <c r="O33" s="52" t="s">
        <v>145</v>
      </c>
      <c r="P33" s="50" t="s">
        <v>146</v>
      </c>
      <c r="Q33" s="48" t="s">
        <v>58</v>
      </c>
      <c r="R33" s="48" t="s">
        <v>137</v>
      </c>
      <c r="S33" s="48" t="s">
        <v>220</v>
      </c>
      <c r="T33" s="52" t="s">
        <v>144</v>
      </c>
      <c r="U33" s="48" t="s">
        <v>146</v>
      </c>
      <c r="V33" s="49" t="s">
        <v>128</v>
      </c>
      <c r="W33" s="50"/>
      <c r="X33" s="48" t="s">
        <v>149</v>
      </c>
      <c r="Y33" s="57" t="s">
        <v>44</v>
      </c>
      <c r="Z33" s="48" t="s">
        <v>137</v>
      </c>
      <c r="AA33" s="48" t="s">
        <v>58</v>
      </c>
      <c r="AB33" s="48" t="s">
        <v>52</v>
      </c>
      <c r="AC33" s="56" t="s">
        <v>44</v>
      </c>
      <c r="AD33" s="50"/>
      <c r="AE33" s="48" t="s">
        <v>61</v>
      </c>
      <c r="AF33" s="50"/>
      <c r="AG33" s="50"/>
      <c r="AH33" s="28" t="str">
        <f t="shared" si="1"/>
        <v>佐藤　</v>
      </c>
      <c r="AI33" s="34"/>
      <c r="AJ33" s="34"/>
      <c r="AK33" s="84"/>
      <c r="AN33" s="18" t="s">
        <v>86</v>
      </c>
      <c r="AO33" s="8">
        <v>2</v>
      </c>
      <c r="AP33" s="14"/>
    </row>
    <row r="34" spans="1:42" ht="62" customHeight="1">
      <c r="A34" s="39">
        <v>28</v>
      </c>
      <c r="B34" s="45" t="s">
        <v>91</v>
      </c>
      <c r="C34" s="48" t="s">
        <v>145</v>
      </c>
      <c r="D34" s="30" t="s">
        <v>130</v>
      </c>
      <c r="E34" s="48" t="s">
        <v>146</v>
      </c>
      <c r="F34" s="48" t="s">
        <v>35</v>
      </c>
      <c r="G34" s="48" t="s">
        <v>142</v>
      </c>
      <c r="H34" s="49" t="s">
        <v>222</v>
      </c>
      <c r="I34" s="50"/>
      <c r="J34" s="48" t="s">
        <v>35</v>
      </c>
      <c r="K34" s="30" t="s">
        <v>130</v>
      </c>
      <c r="L34" s="48" t="s">
        <v>146</v>
      </c>
      <c r="M34" s="48" t="s">
        <v>58</v>
      </c>
      <c r="N34" s="48" t="s">
        <v>149</v>
      </c>
      <c r="O34" s="49" t="s">
        <v>216</v>
      </c>
      <c r="P34" s="50"/>
      <c r="Q34" s="48" t="s">
        <v>35</v>
      </c>
      <c r="R34" s="48" t="s">
        <v>53</v>
      </c>
      <c r="S34" s="48" t="s">
        <v>130</v>
      </c>
      <c r="T34" s="48" t="s">
        <v>35</v>
      </c>
      <c r="U34" s="48" t="s">
        <v>142</v>
      </c>
      <c r="V34" s="49" t="s">
        <v>137</v>
      </c>
      <c r="W34" s="50"/>
      <c r="X34" s="48" t="s">
        <v>36</v>
      </c>
      <c r="Y34" s="48" t="s">
        <v>137</v>
      </c>
      <c r="Z34" s="48" t="s">
        <v>130</v>
      </c>
      <c r="AA34" s="52" t="s">
        <v>130</v>
      </c>
      <c r="AB34" s="48" t="s">
        <v>146</v>
      </c>
      <c r="AC34" s="49" t="s">
        <v>58</v>
      </c>
      <c r="AD34" s="50"/>
      <c r="AE34" s="48" t="s">
        <v>58</v>
      </c>
      <c r="AF34" s="50"/>
      <c r="AG34" s="50"/>
      <c r="AH34" s="28" t="str">
        <f t="shared" si="1"/>
        <v>祝部　</v>
      </c>
      <c r="AI34" s="34"/>
      <c r="AJ34" s="34"/>
      <c r="AK34" s="84"/>
      <c r="AN34" s="18" t="s">
        <v>87</v>
      </c>
      <c r="AO34" s="8">
        <v>2</v>
      </c>
      <c r="AP34" s="14"/>
    </row>
    <row r="35" spans="1:42" ht="62" customHeight="1">
      <c r="A35" s="39">
        <v>29</v>
      </c>
      <c r="B35" s="46" t="s">
        <v>272</v>
      </c>
      <c r="C35" s="48" t="s">
        <v>150</v>
      </c>
      <c r="D35" s="48" t="s">
        <v>132</v>
      </c>
      <c r="E35" s="48" t="s">
        <v>48</v>
      </c>
      <c r="F35" s="48" t="s">
        <v>276</v>
      </c>
      <c r="G35" s="48" t="s">
        <v>216</v>
      </c>
      <c r="H35" s="49" t="s">
        <v>53</v>
      </c>
      <c r="I35" s="50"/>
      <c r="J35" s="48" t="s">
        <v>35</v>
      </c>
      <c r="K35" s="48" t="s">
        <v>138</v>
      </c>
      <c r="L35" s="48" t="s">
        <v>128</v>
      </c>
      <c r="M35" s="48" t="s">
        <v>138</v>
      </c>
      <c r="N35" s="48" t="s">
        <v>130</v>
      </c>
      <c r="O35" s="49" t="s">
        <v>132</v>
      </c>
      <c r="P35" s="50"/>
      <c r="Q35" s="48" t="s">
        <v>128</v>
      </c>
      <c r="R35" s="48" t="s">
        <v>145</v>
      </c>
      <c r="S35" s="48" t="s">
        <v>35</v>
      </c>
      <c r="T35" s="48" t="s">
        <v>149</v>
      </c>
      <c r="U35" s="48" t="s">
        <v>35</v>
      </c>
      <c r="V35" s="49" t="s">
        <v>129</v>
      </c>
      <c r="W35" s="50"/>
      <c r="X35" s="48" t="s">
        <v>35</v>
      </c>
      <c r="Y35" s="48" t="s">
        <v>128</v>
      </c>
      <c r="Z35" s="48" t="s">
        <v>132</v>
      </c>
      <c r="AA35" s="48" t="s">
        <v>218</v>
      </c>
      <c r="AB35" s="48" t="s">
        <v>130</v>
      </c>
      <c r="AC35" s="49" t="s">
        <v>128</v>
      </c>
      <c r="AD35" s="50"/>
      <c r="AE35" s="48" t="s">
        <v>216</v>
      </c>
      <c r="AF35" s="50"/>
      <c r="AG35" s="50"/>
      <c r="AH35" s="28" t="str">
        <f t="shared" si="1"/>
        <v>嶋田　</v>
      </c>
      <c r="AI35" s="34"/>
      <c r="AJ35" s="34" t="s">
        <v>270</v>
      </c>
      <c r="AK35" s="84"/>
      <c r="AN35" s="18" t="s">
        <v>88</v>
      </c>
      <c r="AO35" s="8">
        <v>2</v>
      </c>
      <c r="AP35" s="14"/>
    </row>
    <row r="36" spans="1:42" ht="62" customHeight="1">
      <c r="A36" s="39">
        <v>30</v>
      </c>
      <c r="B36" s="45" t="s">
        <v>92</v>
      </c>
      <c r="C36" s="48" t="s">
        <v>39</v>
      </c>
      <c r="D36" s="48" t="s">
        <v>40</v>
      </c>
      <c r="E36" s="48" t="s">
        <v>128</v>
      </c>
      <c r="F36" s="48" t="s">
        <v>54</v>
      </c>
      <c r="G36" s="48" t="s">
        <v>128</v>
      </c>
      <c r="H36" s="30" t="s">
        <v>40</v>
      </c>
      <c r="I36" s="50" t="s">
        <v>146</v>
      </c>
      <c r="J36" s="48" t="s">
        <v>128</v>
      </c>
      <c r="K36" s="57" t="s">
        <v>44</v>
      </c>
      <c r="L36" s="30" t="s">
        <v>145</v>
      </c>
      <c r="M36" s="48" t="s">
        <v>146</v>
      </c>
      <c r="N36" s="48" t="s">
        <v>58</v>
      </c>
      <c r="O36" s="49" t="s">
        <v>141</v>
      </c>
      <c r="P36" s="50"/>
      <c r="Q36" s="48" t="s">
        <v>149</v>
      </c>
      <c r="R36" s="48" t="s">
        <v>141</v>
      </c>
      <c r="S36" s="48" t="s">
        <v>219</v>
      </c>
      <c r="T36" s="48" t="s">
        <v>137</v>
      </c>
      <c r="U36" s="57" t="s">
        <v>44</v>
      </c>
      <c r="V36" s="49" t="s">
        <v>134</v>
      </c>
      <c r="W36" s="50"/>
      <c r="X36" s="48" t="s">
        <v>142</v>
      </c>
      <c r="Y36" s="48" t="s">
        <v>128</v>
      </c>
      <c r="Z36" s="48" t="s">
        <v>40</v>
      </c>
      <c r="AA36" s="48" t="s">
        <v>44</v>
      </c>
      <c r="AB36" s="48" t="s">
        <v>40</v>
      </c>
      <c r="AC36" s="49" t="s">
        <v>128</v>
      </c>
      <c r="AD36" s="30" t="s">
        <v>256</v>
      </c>
      <c r="AE36" s="48" t="s">
        <v>33</v>
      </c>
      <c r="AF36" s="50"/>
      <c r="AG36" s="50"/>
      <c r="AH36" s="28" t="str">
        <f t="shared" si="1"/>
        <v>細谷　</v>
      </c>
      <c r="AI36" s="34"/>
      <c r="AJ36" s="34"/>
      <c r="AK36" s="84"/>
      <c r="AN36" s="18" t="s">
        <v>89</v>
      </c>
      <c r="AO36" s="8">
        <v>3</v>
      </c>
      <c r="AP36" s="14"/>
    </row>
    <row r="37" spans="1:42" ht="62" customHeight="1">
      <c r="A37" s="39">
        <v>31</v>
      </c>
      <c r="B37" s="45" t="s">
        <v>93</v>
      </c>
      <c r="C37" s="48" t="s">
        <v>47</v>
      </c>
      <c r="D37" s="57" t="s">
        <v>257</v>
      </c>
      <c r="E37" s="48" t="s">
        <v>137</v>
      </c>
      <c r="F37" s="48" t="s">
        <v>50</v>
      </c>
      <c r="G37" s="48" t="s">
        <v>35</v>
      </c>
      <c r="H37" s="49" t="s">
        <v>48</v>
      </c>
      <c r="I37" s="50"/>
      <c r="J37" s="48" t="s">
        <v>148</v>
      </c>
      <c r="K37" s="48" t="s">
        <v>44</v>
      </c>
      <c r="L37" s="48" t="s">
        <v>128</v>
      </c>
      <c r="M37" s="48" t="s">
        <v>49</v>
      </c>
      <c r="N37" s="52" t="s">
        <v>50</v>
      </c>
      <c r="O37" s="49" t="s">
        <v>146</v>
      </c>
      <c r="P37" s="50"/>
      <c r="Q37" s="48" t="s">
        <v>44</v>
      </c>
      <c r="R37" s="48" t="s">
        <v>149</v>
      </c>
      <c r="S37" s="48" t="s">
        <v>130</v>
      </c>
      <c r="T37" s="48" t="s">
        <v>58</v>
      </c>
      <c r="U37" s="30" t="s">
        <v>145</v>
      </c>
      <c r="V37" s="49" t="s">
        <v>146</v>
      </c>
      <c r="W37" s="50"/>
      <c r="X37" s="48" t="s">
        <v>128</v>
      </c>
      <c r="Y37" s="48" t="s">
        <v>47</v>
      </c>
      <c r="Z37" s="48" t="s">
        <v>145</v>
      </c>
      <c r="AA37" s="52" t="s">
        <v>144</v>
      </c>
      <c r="AB37" s="48" t="s">
        <v>146</v>
      </c>
      <c r="AC37" s="49" t="s">
        <v>58</v>
      </c>
      <c r="AD37" s="50"/>
      <c r="AE37" s="48" t="s">
        <v>35</v>
      </c>
      <c r="AF37" s="50"/>
      <c r="AG37" s="50"/>
      <c r="AH37" s="28" t="str">
        <f t="shared" si="1"/>
        <v>大村　</v>
      </c>
      <c r="AI37" s="34"/>
      <c r="AJ37" s="34" t="s">
        <v>215</v>
      </c>
      <c r="AK37" s="84"/>
      <c r="AN37" s="18" t="s">
        <v>90</v>
      </c>
      <c r="AO37" s="8">
        <v>2</v>
      </c>
      <c r="AP37" s="14"/>
    </row>
    <row r="38" spans="1:42" ht="62" customHeight="1">
      <c r="A38" s="39">
        <v>32</v>
      </c>
      <c r="B38" s="45" t="s">
        <v>94</v>
      </c>
      <c r="C38" s="48" t="s">
        <v>257</v>
      </c>
      <c r="D38" s="48" t="s">
        <v>47</v>
      </c>
      <c r="E38" s="48" t="s">
        <v>153</v>
      </c>
      <c r="F38" s="48" t="s">
        <v>35</v>
      </c>
      <c r="G38" s="48" t="s">
        <v>137</v>
      </c>
      <c r="H38" s="49" t="s">
        <v>58</v>
      </c>
      <c r="I38" s="50"/>
      <c r="J38" s="48" t="s">
        <v>38</v>
      </c>
      <c r="K38" s="48" t="s">
        <v>35</v>
      </c>
      <c r="L38" s="48" t="s">
        <v>38</v>
      </c>
      <c r="M38" s="48" t="s">
        <v>129</v>
      </c>
      <c r="N38" s="48" t="s">
        <v>128</v>
      </c>
      <c r="O38" s="49" t="s">
        <v>149</v>
      </c>
      <c r="P38" s="50"/>
      <c r="Q38" s="30" t="s">
        <v>130</v>
      </c>
      <c r="R38" s="48" t="s">
        <v>33</v>
      </c>
      <c r="S38" s="48" t="s">
        <v>128</v>
      </c>
      <c r="T38" s="48" t="s">
        <v>130</v>
      </c>
      <c r="U38" s="48" t="s">
        <v>44</v>
      </c>
      <c r="V38" s="49" t="s">
        <v>44</v>
      </c>
      <c r="W38" s="50"/>
      <c r="X38" s="48" t="s">
        <v>47</v>
      </c>
      <c r="Y38" s="48" t="s">
        <v>48</v>
      </c>
      <c r="Z38" s="48" t="s">
        <v>129</v>
      </c>
      <c r="AA38" s="48" t="s">
        <v>58</v>
      </c>
      <c r="AB38" s="48" t="s">
        <v>145</v>
      </c>
      <c r="AC38" s="49" t="s">
        <v>46</v>
      </c>
      <c r="AD38" s="50"/>
      <c r="AE38" s="48" t="s">
        <v>38</v>
      </c>
      <c r="AF38" s="50"/>
      <c r="AG38" s="50"/>
      <c r="AH38" s="28" t="str">
        <f t="shared" si="1"/>
        <v>星　</v>
      </c>
      <c r="AI38" s="34"/>
      <c r="AJ38" s="34" t="s">
        <v>50</v>
      </c>
      <c r="AK38" s="84"/>
      <c r="AN38" s="18" t="s">
        <v>91</v>
      </c>
      <c r="AO38" s="8">
        <v>2</v>
      </c>
      <c r="AP38" s="14"/>
    </row>
    <row r="39" spans="1:42" ht="62" customHeight="1">
      <c r="A39" s="39">
        <v>33</v>
      </c>
      <c r="B39" s="45" t="s">
        <v>244</v>
      </c>
      <c r="C39" s="48" t="s">
        <v>132</v>
      </c>
      <c r="D39" s="48" t="s">
        <v>48</v>
      </c>
      <c r="E39" s="48" t="s">
        <v>130</v>
      </c>
      <c r="F39" s="48" t="s">
        <v>142</v>
      </c>
      <c r="G39" s="48" t="s">
        <v>43</v>
      </c>
      <c r="H39" s="49" t="s">
        <v>128</v>
      </c>
      <c r="I39" s="50"/>
      <c r="J39" s="48" t="s">
        <v>35</v>
      </c>
      <c r="K39" s="52" t="s">
        <v>218</v>
      </c>
      <c r="L39" s="48" t="s">
        <v>146</v>
      </c>
      <c r="M39" s="48" t="s">
        <v>58</v>
      </c>
      <c r="N39" s="48" t="s">
        <v>137</v>
      </c>
      <c r="O39" s="49" t="s">
        <v>149</v>
      </c>
      <c r="P39" s="50"/>
      <c r="Q39" s="48" t="s">
        <v>129</v>
      </c>
      <c r="R39" s="48" t="s">
        <v>216</v>
      </c>
      <c r="S39" s="48" t="s">
        <v>128</v>
      </c>
      <c r="T39" s="48" t="s">
        <v>38</v>
      </c>
      <c r="U39" s="48" t="s">
        <v>138</v>
      </c>
      <c r="V39" s="49" t="s">
        <v>46</v>
      </c>
      <c r="W39" s="50"/>
      <c r="X39" s="48" t="s">
        <v>38</v>
      </c>
      <c r="Y39" s="48" t="s">
        <v>128</v>
      </c>
      <c r="Z39" s="48" t="s">
        <v>137</v>
      </c>
      <c r="AA39" s="48" t="s">
        <v>53</v>
      </c>
      <c r="AB39" s="48" t="s">
        <v>216</v>
      </c>
      <c r="AC39" s="52" t="s">
        <v>218</v>
      </c>
      <c r="AD39" s="50" t="s">
        <v>146</v>
      </c>
      <c r="AE39" s="48" t="s">
        <v>58</v>
      </c>
      <c r="AF39" s="50"/>
      <c r="AG39" s="50"/>
      <c r="AH39" s="28" t="str">
        <f t="shared" si="1"/>
        <v>細谷　</v>
      </c>
      <c r="AI39" s="34"/>
      <c r="AJ39" s="34"/>
      <c r="AK39" s="84"/>
      <c r="AN39" s="18" t="s">
        <v>92</v>
      </c>
      <c r="AO39" s="8">
        <v>3</v>
      </c>
      <c r="AP39" s="14"/>
    </row>
    <row r="40" spans="1:42" ht="62" customHeight="1">
      <c r="A40" s="39">
        <v>34</v>
      </c>
      <c r="B40" s="45" t="s">
        <v>96</v>
      </c>
      <c r="C40" s="48" t="s">
        <v>145</v>
      </c>
      <c r="D40" s="48" t="s">
        <v>35</v>
      </c>
      <c r="E40" s="48" t="s">
        <v>53</v>
      </c>
      <c r="F40" s="48" t="s">
        <v>35</v>
      </c>
      <c r="G40" s="48" t="s">
        <v>38</v>
      </c>
      <c r="H40" s="49" t="s">
        <v>58</v>
      </c>
      <c r="I40" s="50"/>
      <c r="J40" s="48" t="s">
        <v>46</v>
      </c>
      <c r="K40" s="48" t="s">
        <v>129</v>
      </c>
      <c r="L40" s="48" t="s">
        <v>216</v>
      </c>
      <c r="M40" s="30" t="s">
        <v>130</v>
      </c>
      <c r="N40" s="48" t="s">
        <v>146</v>
      </c>
      <c r="O40" s="49" t="s">
        <v>128</v>
      </c>
      <c r="P40" s="50"/>
      <c r="Q40" s="48" t="s">
        <v>132</v>
      </c>
      <c r="R40" s="48" t="s">
        <v>257</v>
      </c>
      <c r="S40" s="48" t="s">
        <v>149</v>
      </c>
      <c r="T40" s="51" t="s">
        <v>53</v>
      </c>
      <c r="U40" s="48" t="s">
        <v>58</v>
      </c>
      <c r="V40" s="49" t="s">
        <v>58</v>
      </c>
      <c r="W40" s="50"/>
      <c r="X40" s="52" t="s">
        <v>44</v>
      </c>
      <c r="Y40" s="48" t="s">
        <v>146</v>
      </c>
      <c r="Z40" s="48" t="s">
        <v>58</v>
      </c>
      <c r="AA40" s="48" t="s">
        <v>36</v>
      </c>
      <c r="AB40" s="48" t="s">
        <v>149</v>
      </c>
      <c r="AC40" s="49" t="s">
        <v>44</v>
      </c>
      <c r="AD40" s="50"/>
      <c r="AE40" s="48" t="s">
        <v>145</v>
      </c>
      <c r="AF40" s="50" t="s">
        <v>246</v>
      </c>
      <c r="AG40" s="50"/>
      <c r="AH40" s="28" t="str">
        <f t="shared" si="1"/>
        <v>良本　</v>
      </c>
      <c r="AI40" s="34"/>
      <c r="AJ40" s="34"/>
      <c r="AK40" s="84"/>
      <c r="AN40" s="18" t="s">
        <v>93</v>
      </c>
      <c r="AO40" s="8"/>
      <c r="AP40" s="14"/>
    </row>
    <row r="41" spans="1:42" ht="62" customHeight="1">
      <c r="A41" s="39">
        <v>35</v>
      </c>
      <c r="B41" s="45" t="s">
        <v>97</v>
      </c>
      <c r="C41" s="48" t="s">
        <v>130</v>
      </c>
      <c r="D41" s="48" t="s">
        <v>44</v>
      </c>
      <c r="E41" s="48" t="s">
        <v>130</v>
      </c>
      <c r="F41" s="30" t="s">
        <v>145</v>
      </c>
      <c r="G41" s="48" t="s">
        <v>146</v>
      </c>
      <c r="H41" s="49" t="s">
        <v>58</v>
      </c>
      <c r="I41" s="50"/>
      <c r="J41" s="48" t="s">
        <v>137</v>
      </c>
      <c r="K41" s="48" t="s">
        <v>216</v>
      </c>
      <c r="L41" s="48" t="s">
        <v>149</v>
      </c>
      <c r="M41" s="48" t="s">
        <v>49</v>
      </c>
      <c r="N41" s="48" t="s">
        <v>129</v>
      </c>
      <c r="O41" s="49" t="s">
        <v>128</v>
      </c>
      <c r="P41" s="50"/>
      <c r="Q41" s="48" t="s">
        <v>145</v>
      </c>
      <c r="R41" s="48" t="s">
        <v>35</v>
      </c>
      <c r="S41" s="48" t="s">
        <v>82</v>
      </c>
      <c r="T41" s="48" t="s">
        <v>35</v>
      </c>
      <c r="U41" s="48" t="s">
        <v>128</v>
      </c>
      <c r="V41" s="30" t="s">
        <v>145</v>
      </c>
      <c r="W41" s="50" t="s">
        <v>33</v>
      </c>
      <c r="X41" s="48" t="s">
        <v>58</v>
      </c>
      <c r="Y41" s="48" t="s">
        <v>38</v>
      </c>
      <c r="Z41" s="48" t="s">
        <v>216</v>
      </c>
      <c r="AA41" s="48" t="s">
        <v>52</v>
      </c>
      <c r="AB41" s="48" t="s">
        <v>130</v>
      </c>
      <c r="AC41" s="49" t="s">
        <v>129</v>
      </c>
      <c r="AD41" s="50"/>
      <c r="AE41" s="48" t="s">
        <v>149</v>
      </c>
      <c r="AF41" s="50" t="s">
        <v>246</v>
      </c>
      <c r="AG41" s="50"/>
      <c r="AH41" s="28" t="str">
        <f t="shared" si="1"/>
        <v>松井　</v>
      </c>
      <c r="AI41" s="34"/>
      <c r="AJ41" s="34"/>
      <c r="AK41" s="84"/>
      <c r="AN41" s="18"/>
      <c r="AO41" s="8"/>
      <c r="AP41" s="14"/>
    </row>
    <row r="42" spans="1:42" ht="62" customHeight="1">
      <c r="A42" s="39">
        <v>36</v>
      </c>
      <c r="B42" s="45" t="s">
        <v>98</v>
      </c>
      <c r="C42" s="48" t="s">
        <v>145</v>
      </c>
      <c r="D42" s="30" t="s">
        <v>41</v>
      </c>
      <c r="E42" s="48" t="s">
        <v>146</v>
      </c>
      <c r="F42" s="48" t="s">
        <v>58</v>
      </c>
      <c r="G42" s="48" t="s">
        <v>132</v>
      </c>
      <c r="H42" s="49" t="s">
        <v>137</v>
      </c>
      <c r="I42" s="50" t="s">
        <v>246</v>
      </c>
      <c r="J42" s="48" t="s">
        <v>129</v>
      </c>
      <c r="K42" s="48" t="s">
        <v>128</v>
      </c>
      <c r="L42" s="48" t="s">
        <v>35</v>
      </c>
      <c r="M42" s="48" t="s">
        <v>131</v>
      </c>
      <c r="N42" s="48" t="s">
        <v>53</v>
      </c>
      <c r="O42" s="49" t="s">
        <v>137</v>
      </c>
      <c r="P42" s="50"/>
      <c r="Q42" s="48" t="s">
        <v>145</v>
      </c>
      <c r="R42" s="52" t="s">
        <v>41</v>
      </c>
      <c r="S42" s="48" t="s">
        <v>146</v>
      </c>
      <c r="T42" s="48" t="s">
        <v>58</v>
      </c>
      <c r="U42" s="48" t="s">
        <v>137</v>
      </c>
      <c r="V42" s="49" t="s">
        <v>128</v>
      </c>
      <c r="W42" s="50"/>
      <c r="X42" s="48" t="s">
        <v>149</v>
      </c>
      <c r="Y42" s="48" t="s">
        <v>129</v>
      </c>
      <c r="Z42" s="48" t="s">
        <v>128</v>
      </c>
      <c r="AA42" s="57" t="s">
        <v>44</v>
      </c>
      <c r="AB42" s="48" t="s">
        <v>53</v>
      </c>
      <c r="AC42" s="49" t="s">
        <v>130</v>
      </c>
      <c r="AD42" s="50"/>
      <c r="AE42" s="48" t="s">
        <v>44</v>
      </c>
      <c r="AF42" s="50"/>
      <c r="AG42" s="50"/>
      <c r="AH42" s="28" t="str">
        <f t="shared" si="1"/>
        <v>飯塚　</v>
      </c>
      <c r="AI42" s="34"/>
      <c r="AJ42" s="34" t="s">
        <v>51</v>
      </c>
      <c r="AK42" s="84"/>
      <c r="AN42" s="18" t="s">
        <v>95</v>
      </c>
      <c r="AO42" s="8">
        <v>2</v>
      </c>
      <c r="AP42" s="14"/>
    </row>
    <row r="43" spans="1:42" ht="62" customHeight="1">
      <c r="A43" s="39">
        <v>37</v>
      </c>
      <c r="B43" s="45" t="s">
        <v>100</v>
      </c>
      <c r="C43" s="48" t="s">
        <v>129</v>
      </c>
      <c r="D43" s="48" t="s">
        <v>128</v>
      </c>
      <c r="E43" s="48" t="s">
        <v>47</v>
      </c>
      <c r="F43" s="57" t="s">
        <v>44</v>
      </c>
      <c r="G43" s="48" t="s">
        <v>131</v>
      </c>
      <c r="H43" s="49" t="s">
        <v>58</v>
      </c>
      <c r="I43" s="50" t="s">
        <v>246</v>
      </c>
      <c r="J43" s="48" t="s">
        <v>149</v>
      </c>
      <c r="K43" s="48" t="s">
        <v>218</v>
      </c>
      <c r="L43" s="52" t="s">
        <v>54</v>
      </c>
      <c r="M43" s="48" t="s">
        <v>146</v>
      </c>
      <c r="N43" s="48" t="s">
        <v>58</v>
      </c>
      <c r="O43" s="49" t="s">
        <v>128</v>
      </c>
      <c r="P43" s="50"/>
      <c r="Q43" s="48" t="s">
        <v>41</v>
      </c>
      <c r="R43" s="48" t="s">
        <v>48</v>
      </c>
      <c r="S43" s="48" t="s">
        <v>131</v>
      </c>
      <c r="T43" s="57" t="s">
        <v>44</v>
      </c>
      <c r="U43" s="48" t="s">
        <v>35</v>
      </c>
      <c r="V43" s="49" t="s">
        <v>128</v>
      </c>
      <c r="W43" s="50"/>
      <c r="X43" s="48" t="s">
        <v>35</v>
      </c>
      <c r="Y43" s="48" t="s">
        <v>132</v>
      </c>
      <c r="Z43" s="30" t="s">
        <v>130</v>
      </c>
      <c r="AA43" s="48" t="s">
        <v>146</v>
      </c>
      <c r="AB43" s="48" t="s">
        <v>128</v>
      </c>
      <c r="AC43" s="49" t="s">
        <v>275</v>
      </c>
      <c r="AD43" s="50"/>
      <c r="AE43" s="48" t="s">
        <v>130</v>
      </c>
      <c r="AF43" s="50"/>
      <c r="AG43" s="50" t="s">
        <v>246</v>
      </c>
      <c r="AH43" s="28" t="str">
        <f t="shared" si="1"/>
        <v>斎藤　</v>
      </c>
      <c r="AI43" s="34"/>
      <c r="AJ43" s="34"/>
      <c r="AK43" s="84"/>
      <c r="AN43" s="18" t="s">
        <v>96</v>
      </c>
      <c r="AO43" s="8">
        <v>2</v>
      </c>
      <c r="AP43" s="14"/>
    </row>
    <row r="44" spans="1:42" ht="62" customHeight="1">
      <c r="A44" s="39">
        <v>38</v>
      </c>
      <c r="B44" s="45" t="s">
        <v>101</v>
      </c>
      <c r="C44" s="48" t="s">
        <v>128</v>
      </c>
      <c r="D44" s="48" t="s">
        <v>137</v>
      </c>
      <c r="E44" s="48" t="s">
        <v>220</v>
      </c>
      <c r="F44" s="48" t="s">
        <v>149</v>
      </c>
      <c r="G44" s="57" t="s">
        <v>44</v>
      </c>
      <c r="H44" s="49" t="s">
        <v>130</v>
      </c>
      <c r="I44" s="50"/>
      <c r="J44" s="30" t="s">
        <v>50</v>
      </c>
      <c r="K44" s="48" t="s">
        <v>33</v>
      </c>
      <c r="L44" s="48" t="s">
        <v>58</v>
      </c>
      <c r="M44" s="48" t="s">
        <v>46</v>
      </c>
      <c r="N44" s="48" t="s">
        <v>35</v>
      </c>
      <c r="O44" s="49" t="s">
        <v>129</v>
      </c>
      <c r="P44" s="50"/>
      <c r="Q44" s="48" t="s">
        <v>218</v>
      </c>
      <c r="R44" s="48" t="s">
        <v>130</v>
      </c>
      <c r="S44" s="48" t="s">
        <v>35</v>
      </c>
      <c r="T44" s="48" t="s">
        <v>48</v>
      </c>
      <c r="U44" s="48" t="s">
        <v>129</v>
      </c>
      <c r="V44" s="49" t="s">
        <v>58</v>
      </c>
      <c r="W44" s="50"/>
      <c r="X44" s="48" t="s">
        <v>128</v>
      </c>
      <c r="Y44" s="48" t="s">
        <v>51</v>
      </c>
      <c r="Z44" s="48" t="s">
        <v>218</v>
      </c>
      <c r="AA44" s="48" t="s">
        <v>35</v>
      </c>
      <c r="AB44" s="58" t="s">
        <v>44</v>
      </c>
      <c r="AC44" s="49" t="s">
        <v>146</v>
      </c>
      <c r="AD44" s="50"/>
      <c r="AE44" s="48" t="s">
        <v>47</v>
      </c>
      <c r="AF44" s="50"/>
      <c r="AG44" s="50"/>
      <c r="AH44" s="28" t="str">
        <f t="shared" si="1"/>
        <v>宮野　</v>
      </c>
      <c r="AI44" s="34"/>
      <c r="AJ44" s="34"/>
      <c r="AK44" s="84"/>
      <c r="AN44" s="18" t="s">
        <v>97</v>
      </c>
      <c r="AO44" s="8">
        <v>2</v>
      </c>
      <c r="AP44" s="14"/>
    </row>
    <row r="45" spans="1:42" ht="62" customHeight="1">
      <c r="A45" s="39">
        <v>39</v>
      </c>
      <c r="B45" s="45" t="s">
        <v>117</v>
      </c>
      <c r="C45" s="48" t="s">
        <v>38</v>
      </c>
      <c r="D45" s="48" t="s">
        <v>38</v>
      </c>
      <c r="E45" s="48" t="s">
        <v>35</v>
      </c>
      <c r="F45" s="48" t="s">
        <v>38</v>
      </c>
      <c r="G45" s="48" t="s">
        <v>38</v>
      </c>
      <c r="H45" s="49" t="s">
        <v>58</v>
      </c>
      <c r="I45" s="50"/>
      <c r="J45" s="48" t="s">
        <v>35</v>
      </c>
      <c r="K45" s="48" t="s">
        <v>46</v>
      </c>
      <c r="L45" s="48" t="s">
        <v>48</v>
      </c>
      <c r="M45" s="48" t="s">
        <v>145</v>
      </c>
      <c r="N45" s="48" t="s">
        <v>277</v>
      </c>
      <c r="O45" s="49" t="s">
        <v>58</v>
      </c>
      <c r="P45" s="50"/>
      <c r="Q45" s="48" t="s">
        <v>145</v>
      </c>
      <c r="R45" s="48" t="s">
        <v>128</v>
      </c>
      <c r="S45" s="48" t="s">
        <v>145</v>
      </c>
      <c r="T45" s="48" t="s">
        <v>38</v>
      </c>
      <c r="U45" s="48" t="s">
        <v>145</v>
      </c>
      <c r="V45" s="49" t="s">
        <v>48</v>
      </c>
      <c r="W45" s="50" t="s">
        <v>246</v>
      </c>
      <c r="X45" s="48" t="s">
        <v>38</v>
      </c>
      <c r="Y45" s="48" t="s">
        <v>128</v>
      </c>
      <c r="Z45" s="48" t="s">
        <v>35</v>
      </c>
      <c r="AA45" s="48" t="s">
        <v>48</v>
      </c>
      <c r="AB45" s="48" t="s">
        <v>278</v>
      </c>
      <c r="AC45" s="49" t="s">
        <v>145</v>
      </c>
      <c r="AD45" s="50"/>
      <c r="AE45" s="48" t="s">
        <v>38</v>
      </c>
      <c r="AF45" s="50"/>
      <c r="AG45" s="50"/>
      <c r="AH45" s="28" t="str">
        <f t="shared" si="1"/>
        <v>塚田　</v>
      </c>
      <c r="AI45" s="34"/>
      <c r="AJ45" s="34"/>
      <c r="AK45" s="84"/>
      <c r="AN45" s="18" t="s">
        <v>98</v>
      </c>
      <c r="AO45" s="8">
        <v>2</v>
      </c>
      <c r="AP45" s="14"/>
    </row>
    <row r="46" spans="1:42" ht="62" customHeight="1">
      <c r="A46" s="39">
        <v>40</v>
      </c>
      <c r="B46" s="45" t="s">
        <v>102</v>
      </c>
      <c r="C46" s="48" t="s">
        <v>48</v>
      </c>
      <c r="D46" s="48" t="s">
        <v>276</v>
      </c>
      <c r="E46" s="48" t="s">
        <v>128</v>
      </c>
      <c r="F46" s="48" t="s">
        <v>44</v>
      </c>
      <c r="G46" s="30" t="s">
        <v>218</v>
      </c>
      <c r="H46" s="49" t="s">
        <v>146</v>
      </c>
      <c r="I46" s="50"/>
      <c r="J46" s="48" t="s">
        <v>44</v>
      </c>
      <c r="K46" s="48" t="s">
        <v>52</v>
      </c>
      <c r="L46" s="57" t="s">
        <v>44</v>
      </c>
      <c r="M46" s="48" t="s">
        <v>145</v>
      </c>
      <c r="N46" s="48" t="s">
        <v>47</v>
      </c>
      <c r="O46" s="49" t="s">
        <v>320</v>
      </c>
      <c r="P46" s="50"/>
      <c r="Q46" s="48" t="s">
        <v>46</v>
      </c>
      <c r="R46" s="57" t="s">
        <v>257</v>
      </c>
      <c r="S46" s="48" t="s">
        <v>137</v>
      </c>
      <c r="T46" s="48" t="s">
        <v>130</v>
      </c>
      <c r="U46" s="48" t="s">
        <v>128</v>
      </c>
      <c r="V46" s="49" t="s">
        <v>58</v>
      </c>
      <c r="W46" s="50"/>
      <c r="X46" s="48" t="s">
        <v>46</v>
      </c>
      <c r="Y46" s="48" t="s">
        <v>218</v>
      </c>
      <c r="Z46" s="48" t="s">
        <v>128</v>
      </c>
      <c r="AA46" s="48" t="s">
        <v>130</v>
      </c>
      <c r="AB46" s="48" t="s">
        <v>47</v>
      </c>
      <c r="AC46" s="49" t="s">
        <v>48</v>
      </c>
      <c r="AD46" s="50" t="s">
        <v>246</v>
      </c>
      <c r="AE46" s="48" t="s">
        <v>137</v>
      </c>
      <c r="AF46" s="50"/>
      <c r="AG46" s="50"/>
      <c r="AH46" s="28" t="str">
        <f t="shared" si="1"/>
        <v>平野　</v>
      </c>
      <c r="AI46" s="34"/>
      <c r="AJ46" s="34" t="s">
        <v>269</v>
      </c>
      <c r="AK46" s="84"/>
      <c r="AN46" s="18" t="s">
        <v>99</v>
      </c>
      <c r="AO46" s="8"/>
      <c r="AP46" s="14"/>
    </row>
    <row r="47" spans="1:42" ht="62" customHeight="1">
      <c r="A47" s="39">
        <v>41</v>
      </c>
      <c r="B47" s="45" t="s">
        <v>103</v>
      </c>
      <c r="C47" s="48" t="s">
        <v>35</v>
      </c>
      <c r="D47" s="48" t="s">
        <v>38</v>
      </c>
      <c r="E47" s="48" t="s">
        <v>129</v>
      </c>
      <c r="F47" s="48" t="s">
        <v>128</v>
      </c>
      <c r="G47" s="48" t="s">
        <v>35</v>
      </c>
      <c r="H47" s="52" t="s">
        <v>218</v>
      </c>
      <c r="I47" s="50" t="s">
        <v>146</v>
      </c>
      <c r="J47" s="48" t="s">
        <v>58</v>
      </c>
      <c r="K47" s="48" t="s">
        <v>47</v>
      </c>
      <c r="L47" s="48" t="s">
        <v>218</v>
      </c>
      <c r="M47" s="48" t="s">
        <v>35</v>
      </c>
      <c r="N47" s="48" t="s">
        <v>216</v>
      </c>
      <c r="O47" s="49" t="s">
        <v>128</v>
      </c>
      <c r="P47" s="50"/>
      <c r="Q47" s="48" t="s">
        <v>35</v>
      </c>
      <c r="R47" s="48" t="s">
        <v>129</v>
      </c>
      <c r="S47" s="48" t="s">
        <v>216</v>
      </c>
      <c r="T47" s="48" t="s">
        <v>46</v>
      </c>
      <c r="U47" s="48" t="s">
        <v>48</v>
      </c>
      <c r="V47" s="49" t="s">
        <v>128</v>
      </c>
      <c r="W47" s="50"/>
      <c r="X47" s="48" t="s">
        <v>137</v>
      </c>
      <c r="Y47" s="48" t="s">
        <v>35</v>
      </c>
      <c r="Z47" s="48" t="s">
        <v>130</v>
      </c>
      <c r="AA47" s="48" t="s">
        <v>131</v>
      </c>
      <c r="AB47" s="48" t="s">
        <v>137</v>
      </c>
      <c r="AC47" s="49" t="s">
        <v>128</v>
      </c>
      <c r="AD47" s="50"/>
      <c r="AE47" s="48" t="s">
        <v>128</v>
      </c>
      <c r="AF47" s="50"/>
      <c r="AG47" s="50" t="s">
        <v>246</v>
      </c>
      <c r="AH47" s="28" t="str">
        <f t="shared" si="1"/>
        <v>田﨑　</v>
      </c>
      <c r="AI47" s="34"/>
      <c r="AJ47" s="34"/>
      <c r="AK47" s="84"/>
      <c r="AN47" s="18" t="s">
        <v>100</v>
      </c>
      <c r="AO47" s="8">
        <v>2</v>
      </c>
      <c r="AP47" s="14"/>
    </row>
    <row r="48" spans="1:42" ht="62" customHeight="1">
      <c r="A48" s="39">
        <v>42</v>
      </c>
      <c r="B48" s="45" t="s">
        <v>104</v>
      </c>
      <c r="C48" s="48" t="s">
        <v>35</v>
      </c>
      <c r="D48" s="48" t="s">
        <v>145</v>
      </c>
      <c r="E48" s="48" t="s">
        <v>216</v>
      </c>
      <c r="F48" s="48" t="s">
        <v>46</v>
      </c>
      <c r="G48" s="48" t="s">
        <v>129</v>
      </c>
      <c r="H48" s="49" t="s">
        <v>36</v>
      </c>
      <c r="I48" s="50"/>
      <c r="J48" s="48" t="s">
        <v>128</v>
      </c>
      <c r="K48" s="48" t="s">
        <v>35</v>
      </c>
      <c r="L48" s="48" t="s">
        <v>131</v>
      </c>
      <c r="M48" s="48" t="s">
        <v>128</v>
      </c>
      <c r="N48" s="48" t="s">
        <v>38</v>
      </c>
      <c r="O48" s="49" t="s">
        <v>35</v>
      </c>
      <c r="P48" s="50" t="s">
        <v>246</v>
      </c>
      <c r="Q48" s="48" t="s">
        <v>128</v>
      </c>
      <c r="R48" s="48" t="s">
        <v>35</v>
      </c>
      <c r="S48" s="48" t="s">
        <v>58</v>
      </c>
      <c r="T48" s="48" t="s">
        <v>137</v>
      </c>
      <c r="U48" s="30" t="s">
        <v>47</v>
      </c>
      <c r="V48" s="49" t="s">
        <v>33</v>
      </c>
      <c r="W48" s="50"/>
      <c r="X48" s="48" t="s">
        <v>129</v>
      </c>
      <c r="Y48" s="48" t="s">
        <v>216</v>
      </c>
      <c r="Z48" s="48" t="s">
        <v>149</v>
      </c>
      <c r="AA48" s="48" t="s">
        <v>38</v>
      </c>
      <c r="AB48" s="48" t="s">
        <v>130</v>
      </c>
      <c r="AC48" s="49" t="s">
        <v>128</v>
      </c>
      <c r="AD48" s="50"/>
      <c r="AE48" s="48" t="s">
        <v>35</v>
      </c>
      <c r="AF48" s="50" t="s">
        <v>246</v>
      </c>
      <c r="AG48" s="50"/>
      <c r="AH48" s="28" t="str">
        <f t="shared" si="1"/>
        <v>平野　</v>
      </c>
      <c r="AI48" s="34"/>
      <c r="AJ48" s="34"/>
      <c r="AK48" s="84"/>
      <c r="AN48" s="18" t="s">
        <v>101</v>
      </c>
      <c r="AO48" s="8">
        <v>2</v>
      </c>
      <c r="AP48" s="14"/>
    </row>
    <row r="49" spans="1:42" ht="62" customHeight="1">
      <c r="A49" s="39">
        <v>43</v>
      </c>
      <c r="B49" s="45" t="s">
        <v>105</v>
      </c>
      <c r="C49" s="48" t="s">
        <v>58</v>
      </c>
      <c r="D49" s="48" t="s">
        <v>35</v>
      </c>
      <c r="E49" s="48" t="s">
        <v>148</v>
      </c>
      <c r="F49" s="48" t="s">
        <v>149</v>
      </c>
      <c r="G49" s="48" t="s">
        <v>137</v>
      </c>
      <c r="H49" s="49" t="s">
        <v>288</v>
      </c>
      <c r="I49" s="50"/>
      <c r="J49" s="48" t="s">
        <v>131</v>
      </c>
      <c r="K49" s="48" t="s">
        <v>50</v>
      </c>
      <c r="L49" s="48" t="s">
        <v>129</v>
      </c>
      <c r="M49" s="48" t="s">
        <v>128</v>
      </c>
      <c r="N49" s="48" t="s">
        <v>130</v>
      </c>
      <c r="O49" s="49" t="s">
        <v>44</v>
      </c>
      <c r="P49" s="50"/>
      <c r="Q49" s="48" t="s">
        <v>47</v>
      </c>
      <c r="R49" s="48" t="s">
        <v>145</v>
      </c>
      <c r="S49" s="48" t="s">
        <v>130</v>
      </c>
      <c r="T49" s="48" t="s">
        <v>47</v>
      </c>
      <c r="U49" s="48" t="s">
        <v>50</v>
      </c>
      <c r="V49" s="31" t="s">
        <v>44</v>
      </c>
      <c r="W49" s="50" t="s">
        <v>33</v>
      </c>
      <c r="X49" s="48" t="s">
        <v>58</v>
      </c>
      <c r="Y49" s="48" t="s">
        <v>48</v>
      </c>
      <c r="Z49" s="48" t="s">
        <v>38</v>
      </c>
      <c r="AA49" s="48" t="s">
        <v>129</v>
      </c>
      <c r="AB49" s="48" t="s">
        <v>128</v>
      </c>
      <c r="AC49" s="49" t="s">
        <v>128</v>
      </c>
      <c r="AD49" s="50" t="s">
        <v>246</v>
      </c>
      <c r="AE49" s="48" t="s">
        <v>145</v>
      </c>
      <c r="AF49" s="50"/>
      <c r="AG49" s="50"/>
      <c r="AH49" s="28" t="str">
        <f t="shared" si="1"/>
        <v>堺　</v>
      </c>
      <c r="AI49" s="34"/>
      <c r="AJ49" s="34"/>
      <c r="AK49" s="84"/>
      <c r="AN49" s="7"/>
      <c r="AO49" s="8"/>
      <c r="AP49" s="14"/>
    </row>
    <row r="50" spans="1:42" ht="62" customHeight="1">
      <c r="A50" s="39">
        <v>44</v>
      </c>
      <c r="B50" s="45" t="s">
        <v>106</v>
      </c>
      <c r="C50" s="52" t="s">
        <v>42</v>
      </c>
      <c r="D50" s="48" t="s">
        <v>146</v>
      </c>
      <c r="E50" s="48" t="s">
        <v>58</v>
      </c>
      <c r="F50" s="48" t="s">
        <v>137</v>
      </c>
      <c r="G50" s="48" t="s">
        <v>149</v>
      </c>
      <c r="H50" s="49" t="s">
        <v>129</v>
      </c>
      <c r="I50" s="50"/>
      <c r="J50" s="48" t="s">
        <v>128</v>
      </c>
      <c r="K50" s="48" t="s">
        <v>142</v>
      </c>
      <c r="L50" s="48" t="s">
        <v>35</v>
      </c>
      <c r="M50" s="48" t="s">
        <v>142</v>
      </c>
      <c r="N50" s="48" t="s">
        <v>58</v>
      </c>
      <c r="O50" s="49" t="s">
        <v>319</v>
      </c>
      <c r="P50" s="50"/>
      <c r="Q50" s="57" t="s">
        <v>44</v>
      </c>
      <c r="R50" s="48" t="s">
        <v>46</v>
      </c>
      <c r="S50" s="48" t="s">
        <v>54</v>
      </c>
      <c r="T50" s="48" t="s">
        <v>129</v>
      </c>
      <c r="U50" s="48" t="s">
        <v>128</v>
      </c>
      <c r="V50" s="49" t="s">
        <v>48</v>
      </c>
      <c r="W50" s="50" t="s">
        <v>246</v>
      </c>
      <c r="X50" s="48" t="s">
        <v>128</v>
      </c>
      <c r="Y50" s="48" t="s">
        <v>145</v>
      </c>
      <c r="Z50" s="48" t="s">
        <v>35</v>
      </c>
      <c r="AA50" s="48" t="s">
        <v>145</v>
      </c>
      <c r="AB50" s="48" t="s">
        <v>42</v>
      </c>
      <c r="AC50" s="49" t="s">
        <v>142</v>
      </c>
      <c r="AD50" s="50"/>
      <c r="AE50" s="48" t="s">
        <v>142</v>
      </c>
      <c r="AF50" s="50"/>
      <c r="AG50" s="50"/>
      <c r="AH50" s="28" t="str">
        <f t="shared" si="1"/>
        <v>大浦　</v>
      </c>
      <c r="AI50" s="34"/>
      <c r="AJ50" s="34" t="s">
        <v>139</v>
      </c>
      <c r="AK50" s="84"/>
    </row>
    <row r="51" spans="1:42" ht="62" customHeight="1">
      <c r="A51" s="39">
        <v>45</v>
      </c>
      <c r="B51" s="45" t="s">
        <v>107</v>
      </c>
      <c r="C51" s="48" t="s">
        <v>128</v>
      </c>
      <c r="D51" s="48" t="s">
        <v>35</v>
      </c>
      <c r="E51" s="48" t="s">
        <v>38</v>
      </c>
      <c r="F51" s="48" t="s">
        <v>53</v>
      </c>
      <c r="G51" s="48" t="s">
        <v>130</v>
      </c>
      <c r="H51" s="49" t="s">
        <v>128</v>
      </c>
      <c r="I51" s="50"/>
      <c r="J51" s="48" t="s">
        <v>132</v>
      </c>
      <c r="K51" s="48" t="s">
        <v>137</v>
      </c>
      <c r="L51" s="48" t="s">
        <v>35</v>
      </c>
      <c r="M51" s="48" t="s">
        <v>48</v>
      </c>
      <c r="N51" s="48" t="s">
        <v>38</v>
      </c>
      <c r="O51" s="49" t="s">
        <v>46</v>
      </c>
      <c r="P51" s="50"/>
      <c r="Q51" s="48" t="s">
        <v>216</v>
      </c>
      <c r="R51" s="48" t="s">
        <v>35</v>
      </c>
      <c r="S51" s="48" t="s">
        <v>132</v>
      </c>
      <c r="T51" s="48" t="s">
        <v>44</v>
      </c>
      <c r="U51" s="48" t="s">
        <v>218</v>
      </c>
      <c r="V51" s="49" t="s">
        <v>128</v>
      </c>
      <c r="W51" s="50"/>
      <c r="X51" s="30" t="s">
        <v>53</v>
      </c>
      <c r="Y51" s="48" t="s">
        <v>146</v>
      </c>
      <c r="Z51" s="48" t="s">
        <v>58</v>
      </c>
      <c r="AA51" s="48" t="s">
        <v>149</v>
      </c>
      <c r="AB51" s="48" t="s">
        <v>129</v>
      </c>
      <c r="AC51" s="49" t="s">
        <v>216</v>
      </c>
      <c r="AD51" s="50"/>
      <c r="AE51" s="48" t="s">
        <v>130</v>
      </c>
      <c r="AF51" s="50"/>
      <c r="AG51" s="50"/>
      <c r="AH51" s="28" t="str">
        <f t="shared" si="1"/>
        <v>鈴木　</v>
      </c>
      <c r="AI51" s="34"/>
      <c r="AJ51" s="34" t="s">
        <v>139</v>
      </c>
      <c r="AK51" s="84"/>
    </row>
    <row r="52" spans="1:42" ht="62" customHeight="1">
      <c r="A52" s="39">
        <v>46</v>
      </c>
      <c r="B52" s="45" t="s">
        <v>108</v>
      </c>
      <c r="C52" s="48" t="s">
        <v>46</v>
      </c>
      <c r="D52" s="48" t="s">
        <v>128</v>
      </c>
      <c r="E52" s="48" t="s">
        <v>44</v>
      </c>
      <c r="F52" s="48" t="s">
        <v>38</v>
      </c>
      <c r="G52" s="48" t="s">
        <v>48</v>
      </c>
      <c r="H52" s="49" t="s">
        <v>35</v>
      </c>
      <c r="I52" s="30" t="s">
        <v>274</v>
      </c>
      <c r="J52" s="48" t="s">
        <v>33</v>
      </c>
      <c r="K52" s="48" t="s">
        <v>58</v>
      </c>
      <c r="L52" s="48" t="s">
        <v>137</v>
      </c>
      <c r="M52" s="48" t="s">
        <v>216</v>
      </c>
      <c r="N52" s="48" t="s">
        <v>128</v>
      </c>
      <c r="O52" s="49" t="s">
        <v>128</v>
      </c>
      <c r="P52" s="50" t="s">
        <v>246</v>
      </c>
      <c r="Q52" s="48" t="s">
        <v>35</v>
      </c>
      <c r="R52" s="48" t="s">
        <v>38</v>
      </c>
      <c r="S52" s="48" t="s">
        <v>44</v>
      </c>
      <c r="T52" s="48" t="s">
        <v>130</v>
      </c>
      <c r="U52" s="48" t="s">
        <v>128</v>
      </c>
      <c r="V52" s="49" t="s">
        <v>128</v>
      </c>
      <c r="W52" s="50"/>
      <c r="X52" s="48" t="s">
        <v>137</v>
      </c>
      <c r="Y52" s="48" t="s">
        <v>130</v>
      </c>
      <c r="Z52" s="48" t="s">
        <v>44</v>
      </c>
      <c r="AA52" s="48" t="s">
        <v>46</v>
      </c>
      <c r="AB52" s="48" t="s">
        <v>218</v>
      </c>
      <c r="AC52" s="49" t="s">
        <v>149</v>
      </c>
      <c r="AD52" s="50"/>
      <c r="AE52" s="48" t="s">
        <v>129</v>
      </c>
      <c r="AF52" s="50"/>
      <c r="AG52" s="50" t="s">
        <v>246</v>
      </c>
      <c r="AH52" s="28" t="str">
        <f t="shared" si="1"/>
        <v>髙谷　</v>
      </c>
      <c r="AI52" s="34"/>
      <c r="AJ52" s="34" t="s">
        <v>36</v>
      </c>
      <c r="AK52" s="84"/>
    </row>
    <row r="53" spans="1:42" ht="62" customHeight="1">
      <c r="A53" s="39">
        <v>47</v>
      </c>
      <c r="B53" s="45" t="s">
        <v>109</v>
      </c>
      <c r="C53" s="48" t="s">
        <v>35</v>
      </c>
      <c r="D53" s="48" t="s">
        <v>46</v>
      </c>
      <c r="E53" s="48" t="s">
        <v>48</v>
      </c>
      <c r="F53" s="48" t="s">
        <v>131</v>
      </c>
      <c r="G53" s="48" t="s">
        <v>35</v>
      </c>
      <c r="H53" s="49" t="s">
        <v>155</v>
      </c>
      <c r="I53" s="50"/>
      <c r="J53" s="48" t="s">
        <v>58</v>
      </c>
      <c r="K53" s="48" t="s">
        <v>58</v>
      </c>
      <c r="L53" s="48" t="s">
        <v>155</v>
      </c>
      <c r="M53" s="48" t="s">
        <v>44</v>
      </c>
      <c r="N53" s="48" t="s">
        <v>35</v>
      </c>
      <c r="O53" s="49" t="s">
        <v>155</v>
      </c>
      <c r="P53" s="50"/>
      <c r="Q53" s="48" t="s">
        <v>35</v>
      </c>
      <c r="R53" s="48" t="s">
        <v>289</v>
      </c>
      <c r="S53" s="48" t="s">
        <v>48</v>
      </c>
      <c r="T53" s="48" t="s">
        <v>155</v>
      </c>
      <c r="U53" s="48" t="s">
        <v>35</v>
      </c>
      <c r="V53" s="49" t="s">
        <v>128</v>
      </c>
      <c r="W53" s="50"/>
      <c r="X53" s="48" t="s">
        <v>35</v>
      </c>
      <c r="Y53" s="48" t="s">
        <v>46</v>
      </c>
      <c r="Z53" s="48" t="s">
        <v>131</v>
      </c>
      <c r="AA53" s="48" t="s">
        <v>155</v>
      </c>
      <c r="AB53" s="48" t="s">
        <v>35</v>
      </c>
      <c r="AC53" s="49" t="s">
        <v>225</v>
      </c>
      <c r="AD53" s="50"/>
      <c r="AE53" s="48" t="s">
        <v>58</v>
      </c>
      <c r="AF53" s="50"/>
      <c r="AG53" s="50"/>
      <c r="AH53" s="28" t="str">
        <f t="shared" si="1"/>
        <v>野口　</v>
      </c>
      <c r="AI53" s="34"/>
      <c r="AJ53" s="34" t="s">
        <v>255</v>
      </c>
      <c r="AK53" s="84"/>
    </row>
    <row r="54" spans="1:42" ht="62" customHeight="1">
      <c r="A54" s="39">
        <v>48</v>
      </c>
      <c r="B54" s="45" t="s">
        <v>110</v>
      </c>
      <c r="C54" s="48" t="s">
        <v>262</v>
      </c>
      <c r="D54" s="48" t="s">
        <v>279</v>
      </c>
      <c r="E54" s="48" t="s">
        <v>279</v>
      </c>
      <c r="F54" s="48" t="s">
        <v>279</v>
      </c>
      <c r="G54" s="48" t="s">
        <v>280</v>
      </c>
      <c r="H54" s="49" t="s">
        <v>128</v>
      </c>
      <c r="I54" s="50"/>
      <c r="J54" s="48" t="s">
        <v>265</v>
      </c>
      <c r="K54" s="48" t="s">
        <v>279</v>
      </c>
      <c r="L54" s="48" t="s">
        <v>279</v>
      </c>
      <c r="M54" s="48" t="s">
        <v>265</v>
      </c>
      <c r="N54" s="48" t="s">
        <v>280</v>
      </c>
      <c r="O54" s="49" t="s">
        <v>128</v>
      </c>
      <c r="P54" s="50"/>
      <c r="Q54" s="48" t="s">
        <v>264</v>
      </c>
      <c r="R54" s="48" t="s">
        <v>38</v>
      </c>
      <c r="S54" s="48" t="s">
        <v>150</v>
      </c>
      <c r="T54" s="48" t="s">
        <v>38</v>
      </c>
      <c r="U54" s="48" t="s">
        <v>150</v>
      </c>
      <c r="V54" s="49" t="s">
        <v>128</v>
      </c>
      <c r="W54" s="50"/>
      <c r="X54" s="48" t="s">
        <v>152</v>
      </c>
      <c r="Y54" s="48" t="s">
        <v>152</v>
      </c>
      <c r="Z54" s="48" t="s">
        <v>145</v>
      </c>
      <c r="AA54" s="48" t="s">
        <v>145</v>
      </c>
      <c r="AB54" s="48" t="s">
        <v>264</v>
      </c>
      <c r="AC54" s="49" t="s">
        <v>152</v>
      </c>
      <c r="AD54" s="50"/>
      <c r="AE54" s="48" t="s">
        <v>58</v>
      </c>
      <c r="AF54" s="50"/>
      <c r="AG54" s="50"/>
      <c r="AH54" s="28" t="str">
        <f t="shared" si="1"/>
        <v>谷　</v>
      </c>
      <c r="AI54" s="34"/>
      <c r="AJ54" s="34" t="s">
        <v>38</v>
      </c>
      <c r="AK54" s="84"/>
    </row>
    <row r="55" spans="1:42" ht="62" customHeight="1">
      <c r="A55" s="39">
        <v>49</v>
      </c>
      <c r="B55" s="45" t="s">
        <v>111</v>
      </c>
      <c r="C55" s="48" t="s">
        <v>145</v>
      </c>
      <c r="D55" s="48" t="s">
        <v>137</v>
      </c>
      <c r="E55" s="48" t="s">
        <v>137</v>
      </c>
      <c r="F55" s="48" t="s">
        <v>137</v>
      </c>
      <c r="G55" s="48" t="s">
        <v>128</v>
      </c>
      <c r="H55" s="49" t="s">
        <v>128</v>
      </c>
      <c r="I55" s="50"/>
      <c r="J55" s="48" t="s">
        <v>137</v>
      </c>
      <c r="K55" s="48" t="s">
        <v>281</v>
      </c>
      <c r="L55" s="48" t="s">
        <v>44</v>
      </c>
      <c r="M55" s="48" t="s">
        <v>35</v>
      </c>
      <c r="N55" s="48" t="s">
        <v>48</v>
      </c>
      <c r="O55" s="49" t="s">
        <v>128</v>
      </c>
      <c r="P55" s="50"/>
      <c r="Q55" s="48" t="s">
        <v>145</v>
      </c>
      <c r="R55" s="48" t="s">
        <v>131</v>
      </c>
      <c r="S55" s="48" t="s">
        <v>38</v>
      </c>
      <c r="T55" s="48" t="s">
        <v>145</v>
      </c>
      <c r="U55" s="48" t="s">
        <v>38</v>
      </c>
      <c r="V55" s="49" t="s">
        <v>128</v>
      </c>
      <c r="W55" s="50"/>
      <c r="X55" s="48" t="s">
        <v>145</v>
      </c>
      <c r="Y55" s="48" t="s">
        <v>248</v>
      </c>
      <c r="Z55" s="48" t="s">
        <v>48</v>
      </c>
      <c r="AA55" s="48" t="s">
        <v>35</v>
      </c>
      <c r="AB55" s="48" t="s">
        <v>44</v>
      </c>
      <c r="AC55" s="49" t="s">
        <v>38</v>
      </c>
      <c r="AD55" s="50"/>
      <c r="AE55" s="48" t="s">
        <v>46</v>
      </c>
      <c r="AF55" s="50"/>
      <c r="AG55" s="50"/>
      <c r="AH55" s="28" t="str">
        <f t="shared" si="1"/>
        <v>中村　</v>
      </c>
      <c r="AI55" s="34"/>
      <c r="AJ55" s="34" t="s">
        <v>255</v>
      </c>
      <c r="AK55" s="84"/>
    </row>
    <row r="56" spans="1:42" ht="62" customHeight="1">
      <c r="A56" s="39">
        <v>50</v>
      </c>
      <c r="B56" s="45" t="s">
        <v>112</v>
      </c>
      <c r="C56" s="48" t="s">
        <v>150</v>
      </c>
      <c r="D56" s="48" t="s">
        <v>152</v>
      </c>
      <c r="E56" s="48" t="s">
        <v>264</v>
      </c>
      <c r="F56" s="48" t="s">
        <v>263</v>
      </c>
      <c r="G56" s="48" t="s">
        <v>128</v>
      </c>
      <c r="H56" s="49" t="s">
        <v>128</v>
      </c>
      <c r="I56" s="50"/>
      <c r="J56" s="48" t="s">
        <v>152</v>
      </c>
      <c r="K56" s="48" t="s">
        <v>263</v>
      </c>
      <c r="L56" s="48" t="s">
        <v>145</v>
      </c>
      <c r="M56" s="48" t="s">
        <v>38</v>
      </c>
      <c r="N56" s="48" t="s">
        <v>150</v>
      </c>
      <c r="O56" s="49" t="s">
        <v>152</v>
      </c>
      <c r="P56" s="50"/>
      <c r="Q56" s="48" t="s">
        <v>38</v>
      </c>
      <c r="R56" s="48" t="s">
        <v>264</v>
      </c>
      <c r="S56" s="48" t="s">
        <v>150</v>
      </c>
      <c r="T56" s="48" t="s">
        <v>264</v>
      </c>
      <c r="U56" s="48" t="s">
        <v>128</v>
      </c>
      <c r="V56" s="49" t="s">
        <v>145</v>
      </c>
      <c r="W56" s="50"/>
      <c r="X56" s="48" t="s">
        <v>38</v>
      </c>
      <c r="Y56" s="48" t="s">
        <v>264</v>
      </c>
      <c r="Z56" s="48" t="s">
        <v>150</v>
      </c>
      <c r="AA56" s="48" t="s">
        <v>38</v>
      </c>
      <c r="AB56" s="48" t="s">
        <v>150</v>
      </c>
      <c r="AC56" s="49" t="s">
        <v>128</v>
      </c>
      <c r="AD56" s="50"/>
      <c r="AE56" s="48" t="s">
        <v>152</v>
      </c>
      <c r="AF56" s="50"/>
      <c r="AG56" s="50"/>
      <c r="AH56" s="28" t="str">
        <f t="shared" si="1"/>
        <v>藤井　</v>
      </c>
      <c r="AI56" s="34"/>
      <c r="AJ56" s="34" t="s">
        <v>215</v>
      </c>
      <c r="AK56" s="84"/>
    </row>
    <row r="57" spans="1:42" ht="62" customHeight="1">
      <c r="A57" s="39">
        <v>51</v>
      </c>
      <c r="B57" s="45" t="s">
        <v>113</v>
      </c>
      <c r="C57" s="48" t="s">
        <v>151</v>
      </c>
      <c r="D57" s="48" t="s">
        <v>142</v>
      </c>
      <c r="E57" s="48" t="s">
        <v>151</v>
      </c>
      <c r="F57" s="48" t="s">
        <v>152</v>
      </c>
      <c r="G57" s="48" t="s">
        <v>152</v>
      </c>
      <c r="H57" s="49" t="s">
        <v>128</v>
      </c>
      <c r="I57" s="50"/>
      <c r="J57" s="48" t="s">
        <v>261</v>
      </c>
      <c r="K57" s="48" t="s">
        <v>260</v>
      </c>
      <c r="L57" s="48" t="s">
        <v>260</v>
      </c>
      <c r="M57" s="48" t="s">
        <v>132</v>
      </c>
      <c r="N57" s="48" t="s">
        <v>260</v>
      </c>
      <c r="O57" s="49" t="s">
        <v>128</v>
      </c>
      <c r="P57" s="50"/>
      <c r="Q57" s="48" t="s">
        <v>260</v>
      </c>
      <c r="R57" s="48" t="s">
        <v>260</v>
      </c>
      <c r="S57" s="48" t="s">
        <v>260</v>
      </c>
      <c r="T57" s="48" t="s">
        <v>260</v>
      </c>
      <c r="U57" s="48" t="s">
        <v>260</v>
      </c>
      <c r="V57" s="49" t="s">
        <v>128</v>
      </c>
      <c r="W57" s="50"/>
      <c r="X57" s="48" t="s">
        <v>152</v>
      </c>
      <c r="Y57" s="48" t="s">
        <v>138</v>
      </c>
      <c r="Z57" s="48" t="s">
        <v>152</v>
      </c>
      <c r="AA57" s="48" t="s">
        <v>138</v>
      </c>
      <c r="AB57" s="48" t="s">
        <v>48</v>
      </c>
      <c r="AC57" s="49" t="s">
        <v>128</v>
      </c>
      <c r="AD57" s="50"/>
      <c r="AE57" s="48" t="s">
        <v>139</v>
      </c>
      <c r="AF57" s="50"/>
      <c r="AG57" s="50"/>
      <c r="AH57" s="28" t="str">
        <f t="shared" si="1"/>
        <v>牧　</v>
      </c>
      <c r="AI57" s="34"/>
      <c r="AJ57" s="34"/>
      <c r="AK57" s="84"/>
    </row>
    <row r="58" spans="1:42" ht="62" customHeight="1">
      <c r="A58" s="39">
        <v>52</v>
      </c>
      <c r="B58" s="45" t="s">
        <v>114</v>
      </c>
      <c r="C58" s="48" t="s">
        <v>57</v>
      </c>
      <c r="D58" s="48" t="s">
        <v>56</v>
      </c>
      <c r="E58" s="48" t="s">
        <v>56</v>
      </c>
      <c r="F58" s="48" t="s">
        <v>57</v>
      </c>
      <c r="G58" s="48" t="s">
        <v>157</v>
      </c>
      <c r="H58" s="49" t="s">
        <v>57</v>
      </c>
      <c r="I58" s="50"/>
      <c r="J58" s="48" t="s">
        <v>157</v>
      </c>
      <c r="K58" s="48" t="s">
        <v>157</v>
      </c>
      <c r="L58" s="48" t="s">
        <v>156</v>
      </c>
      <c r="M58" s="48" t="s">
        <v>291</v>
      </c>
      <c r="N58" s="48" t="s">
        <v>156</v>
      </c>
      <c r="O58" s="49" t="s">
        <v>58</v>
      </c>
      <c r="P58" s="50"/>
      <c r="Q58" s="48" t="s">
        <v>156</v>
      </c>
      <c r="R58" s="48" t="s">
        <v>157</v>
      </c>
      <c r="S58" s="48" t="s">
        <v>58</v>
      </c>
      <c r="T58" s="48" t="s">
        <v>157</v>
      </c>
      <c r="U58" s="48" t="s">
        <v>157</v>
      </c>
      <c r="V58" s="49" t="s">
        <v>58</v>
      </c>
      <c r="W58" s="50"/>
      <c r="X58" s="48" t="s">
        <v>157</v>
      </c>
      <c r="Y58" s="48" t="s">
        <v>58</v>
      </c>
      <c r="Z58" s="48" t="s">
        <v>157</v>
      </c>
      <c r="AA58" s="48" t="s">
        <v>156</v>
      </c>
      <c r="AB58" s="48" t="s">
        <v>157</v>
      </c>
      <c r="AC58" s="49" t="s">
        <v>58</v>
      </c>
      <c r="AD58" s="50"/>
      <c r="AE58" s="48" t="s">
        <v>157</v>
      </c>
      <c r="AF58" s="50"/>
      <c r="AG58" s="50"/>
      <c r="AH58" s="28" t="str">
        <f t="shared" si="1"/>
        <v>小出　</v>
      </c>
      <c r="AI58" s="34"/>
      <c r="AJ58" s="34"/>
      <c r="AK58" s="84"/>
    </row>
    <row r="59" spans="1:42" ht="62" customHeight="1">
      <c r="A59" s="39">
        <v>53</v>
      </c>
      <c r="B59" s="45" t="s">
        <v>115</v>
      </c>
      <c r="C59" s="48" t="s">
        <v>56</v>
      </c>
      <c r="D59" s="48" t="s">
        <v>57</v>
      </c>
      <c r="E59" s="48" t="s">
        <v>156</v>
      </c>
      <c r="F59" s="48" t="s">
        <v>157</v>
      </c>
      <c r="G59" s="48" t="s">
        <v>156</v>
      </c>
      <c r="H59" s="49" t="s">
        <v>58</v>
      </c>
      <c r="I59" s="50"/>
      <c r="J59" s="48" t="s">
        <v>157</v>
      </c>
      <c r="K59" s="48" t="s">
        <v>156</v>
      </c>
      <c r="L59" s="48" t="s">
        <v>157</v>
      </c>
      <c r="M59" s="48" t="s">
        <v>156</v>
      </c>
      <c r="N59" s="48" t="s">
        <v>156</v>
      </c>
      <c r="O59" s="49" t="s">
        <v>58</v>
      </c>
      <c r="P59" s="50"/>
      <c r="Q59" s="48" t="s">
        <v>157</v>
      </c>
      <c r="R59" s="48" t="s">
        <v>156</v>
      </c>
      <c r="S59" s="48" t="s">
        <v>157</v>
      </c>
      <c r="T59" s="48" t="s">
        <v>156</v>
      </c>
      <c r="U59" s="48" t="s">
        <v>156</v>
      </c>
      <c r="V59" s="49" t="s">
        <v>58</v>
      </c>
      <c r="W59" s="50"/>
      <c r="X59" s="48" t="s">
        <v>157</v>
      </c>
      <c r="Y59" s="48" t="s">
        <v>157</v>
      </c>
      <c r="Z59" s="48" t="s">
        <v>156</v>
      </c>
      <c r="AA59" s="48" t="s">
        <v>157</v>
      </c>
      <c r="AB59" s="48" t="s">
        <v>156</v>
      </c>
      <c r="AC59" s="49" t="s">
        <v>58</v>
      </c>
      <c r="AD59" s="50"/>
      <c r="AE59" s="48" t="s">
        <v>156</v>
      </c>
      <c r="AF59" s="50"/>
      <c r="AG59" s="50"/>
      <c r="AH59" s="28" t="str">
        <f t="shared" si="1"/>
        <v>畠山　</v>
      </c>
      <c r="AI59" s="34"/>
      <c r="AJ59" s="34"/>
      <c r="AK59" s="84"/>
    </row>
    <row r="60" spans="1:42" ht="62" customHeight="1">
      <c r="A60" s="39">
        <v>54</v>
      </c>
      <c r="B60" s="45" t="s">
        <v>116</v>
      </c>
      <c r="C60" s="48" t="s">
        <v>315</v>
      </c>
      <c r="D60" s="48" t="s">
        <v>157</v>
      </c>
      <c r="E60" s="48" t="s">
        <v>316</v>
      </c>
      <c r="F60" s="48" t="s">
        <v>58</v>
      </c>
      <c r="G60" s="48" t="s">
        <v>156</v>
      </c>
      <c r="H60" s="49" t="s">
        <v>58</v>
      </c>
      <c r="I60" s="50"/>
      <c r="J60" s="48" t="s">
        <v>156</v>
      </c>
      <c r="K60" s="48" t="s">
        <v>157</v>
      </c>
      <c r="L60" s="48" t="s">
        <v>58</v>
      </c>
      <c r="M60" s="48" t="s">
        <v>287</v>
      </c>
      <c r="N60" s="30" t="s">
        <v>157</v>
      </c>
      <c r="O60" s="49" t="s">
        <v>33</v>
      </c>
      <c r="P60" s="50"/>
      <c r="Q60" s="48" t="s">
        <v>157</v>
      </c>
      <c r="R60" s="48" t="s">
        <v>157</v>
      </c>
      <c r="S60" s="48" t="s">
        <v>156</v>
      </c>
      <c r="T60" s="48" t="s">
        <v>145</v>
      </c>
      <c r="U60" s="48" t="s">
        <v>58</v>
      </c>
      <c r="V60" s="49" t="s">
        <v>58</v>
      </c>
      <c r="W60" s="50"/>
      <c r="X60" s="48" t="s">
        <v>156</v>
      </c>
      <c r="Y60" s="30" t="s">
        <v>156</v>
      </c>
      <c r="Z60" s="48" t="s">
        <v>33</v>
      </c>
      <c r="AA60" s="48" t="s">
        <v>157</v>
      </c>
      <c r="AB60" s="48" t="s">
        <v>157</v>
      </c>
      <c r="AC60" s="49" t="s">
        <v>57</v>
      </c>
      <c r="AD60" s="50"/>
      <c r="AE60" s="48" t="s">
        <v>35</v>
      </c>
      <c r="AF60" s="50"/>
      <c r="AG60" s="50"/>
      <c r="AH60" s="28" t="str">
        <f t="shared" si="1"/>
        <v>友邉　</v>
      </c>
      <c r="AI60" s="34"/>
      <c r="AJ60" s="34"/>
      <c r="AK60" s="84"/>
    </row>
    <row r="61" spans="1:42" ht="62" customHeight="1">
      <c r="A61" s="39">
        <v>55</v>
      </c>
      <c r="B61" s="45" t="s">
        <v>118</v>
      </c>
      <c r="C61" s="48" t="s">
        <v>156</v>
      </c>
      <c r="D61" s="48" t="s">
        <v>157</v>
      </c>
      <c r="E61" s="48" t="s">
        <v>156</v>
      </c>
      <c r="F61" s="48" t="s">
        <v>157</v>
      </c>
      <c r="G61" s="48" t="s">
        <v>157</v>
      </c>
      <c r="H61" s="49" t="s">
        <v>58</v>
      </c>
      <c r="I61" s="50"/>
      <c r="J61" s="48" t="s">
        <v>156</v>
      </c>
      <c r="K61" s="48" t="s">
        <v>156</v>
      </c>
      <c r="L61" s="48" t="s">
        <v>157</v>
      </c>
      <c r="M61" s="48" t="s">
        <v>157</v>
      </c>
      <c r="N61" s="48" t="s">
        <v>156</v>
      </c>
      <c r="O61" s="49" t="s">
        <v>58</v>
      </c>
      <c r="P61" s="50"/>
      <c r="Q61" s="48" t="s">
        <v>128</v>
      </c>
      <c r="R61" s="48" t="s">
        <v>156</v>
      </c>
      <c r="S61" s="48" t="s">
        <v>157</v>
      </c>
      <c r="T61" s="48" t="s">
        <v>157</v>
      </c>
      <c r="U61" s="48" t="s">
        <v>156</v>
      </c>
      <c r="V61" s="49" t="s">
        <v>57</v>
      </c>
      <c r="W61" s="50"/>
      <c r="X61" s="48" t="s">
        <v>157</v>
      </c>
      <c r="Y61" s="48" t="s">
        <v>156</v>
      </c>
      <c r="Z61" s="48" t="s">
        <v>156</v>
      </c>
      <c r="AA61" s="48" t="s">
        <v>156</v>
      </c>
      <c r="AB61" s="48" t="s">
        <v>157</v>
      </c>
      <c r="AC61" s="49" t="s">
        <v>58</v>
      </c>
      <c r="AD61" s="50"/>
      <c r="AE61" s="48" t="s">
        <v>157</v>
      </c>
      <c r="AF61" s="50"/>
      <c r="AG61" s="50"/>
      <c r="AH61" s="28" t="str">
        <f t="shared" si="1"/>
        <v>池田　</v>
      </c>
      <c r="AI61" s="34"/>
      <c r="AJ61" s="34"/>
      <c r="AK61" s="84"/>
    </row>
    <row r="62" spans="1:42" ht="62" customHeight="1">
      <c r="A62" s="39">
        <v>56</v>
      </c>
      <c r="B62" s="45" t="s">
        <v>119</v>
      </c>
      <c r="C62" s="48" t="s">
        <v>157</v>
      </c>
      <c r="D62" s="48" t="s">
        <v>156</v>
      </c>
      <c r="E62" s="48" t="s">
        <v>157</v>
      </c>
      <c r="F62" s="48" t="s">
        <v>156</v>
      </c>
      <c r="G62" s="48" t="s">
        <v>128</v>
      </c>
      <c r="H62" s="49" t="s">
        <v>58</v>
      </c>
      <c r="I62" s="50"/>
      <c r="J62" s="48" t="s">
        <v>157</v>
      </c>
      <c r="K62" s="48" t="s">
        <v>157</v>
      </c>
      <c r="L62" s="48" t="s">
        <v>156</v>
      </c>
      <c r="M62" s="48" t="s">
        <v>156</v>
      </c>
      <c r="N62" s="48" t="s">
        <v>157</v>
      </c>
      <c r="O62" s="49" t="s">
        <v>57</v>
      </c>
      <c r="P62" s="50"/>
      <c r="Q62" s="48" t="s">
        <v>156</v>
      </c>
      <c r="R62" s="48" t="s">
        <v>56</v>
      </c>
      <c r="S62" s="48" t="s">
        <v>156</v>
      </c>
      <c r="T62" s="48" t="s">
        <v>156</v>
      </c>
      <c r="U62" s="48" t="s">
        <v>157</v>
      </c>
      <c r="V62" s="49" t="s">
        <v>58</v>
      </c>
      <c r="W62" s="50"/>
      <c r="X62" s="48" t="s">
        <v>156</v>
      </c>
      <c r="Y62" s="48" t="s">
        <v>157</v>
      </c>
      <c r="Z62" s="48" t="s">
        <v>157</v>
      </c>
      <c r="AA62" s="48" t="s">
        <v>156</v>
      </c>
      <c r="AB62" s="48" t="s">
        <v>156</v>
      </c>
      <c r="AC62" s="49" t="s">
        <v>58</v>
      </c>
      <c r="AD62" s="50"/>
      <c r="AE62" s="48" t="s">
        <v>157</v>
      </c>
      <c r="AF62" s="50"/>
      <c r="AG62" s="50"/>
      <c r="AH62" s="28" t="str">
        <f t="shared" si="1"/>
        <v>植野　</v>
      </c>
      <c r="AI62" s="34"/>
      <c r="AJ62" s="34"/>
      <c r="AK62" s="84"/>
    </row>
    <row r="63" spans="1:42" ht="62" customHeight="1">
      <c r="A63" s="39">
        <v>57</v>
      </c>
      <c r="B63" s="45" t="s">
        <v>120</v>
      </c>
      <c r="C63" s="48" t="s">
        <v>153</v>
      </c>
      <c r="D63" s="48" t="s">
        <v>158</v>
      </c>
      <c r="E63" s="48" t="s">
        <v>158</v>
      </c>
      <c r="F63" s="48" t="s">
        <v>58</v>
      </c>
      <c r="G63" s="48" t="s">
        <v>158</v>
      </c>
      <c r="H63" s="49" t="s">
        <v>158</v>
      </c>
      <c r="I63" s="50"/>
      <c r="J63" s="48" t="s">
        <v>158</v>
      </c>
      <c r="K63" s="48" t="s">
        <v>158</v>
      </c>
      <c r="L63" s="48" t="s">
        <v>158</v>
      </c>
      <c r="M63" s="48" t="s">
        <v>58</v>
      </c>
      <c r="N63" s="48" t="s">
        <v>158</v>
      </c>
      <c r="O63" s="49" t="s">
        <v>158</v>
      </c>
      <c r="P63" s="50"/>
      <c r="Q63" s="48" t="s">
        <v>158</v>
      </c>
      <c r="R63" s="48" t="s">
        <v>158</v>
      </c>
      <c r="S63" s="48" t="s">
        <v>158</v>
      </c>
      <c r="T63" s="48" t="s">
        <v>58</v>
      </c>
      <c r="U63" s="48" t="s">
        <v>158</v>
      </c>
      <c r="V63" s="49" t="s">
        <v>158</v>
      </c>
      <c r="W63" s="50"/>
      <c r="X63" s="48" t="s">
        <v>158</v>
      </c>
      <c r="Y63" s="48" t="s">
        <v>158</v>
      </c>
      <c r="Z63" s="48" t="s">
        <v>58</v>
      </c>
      <c r="AA63" s="48" t="s">
        <v>158</v>
      </c>
      <c r="AB63" s="48" t="s">
        <v>158</v>
      </c>
      <c r="AC63" s="49" t="s">
        <v>58</v>
      </c>
      <c r="AD63" s="50"/>
      <c r="AE63" s="48" t="s">
        <v>158</v>
      </c>
      <c r="AF63" s="50"/>
      <c r="AG63" s="50"/>
      <c r="AH63" s="28" t="str">
        <f t="shared" si="1"/>
        <v>高重　</v>
      </c>
      <c r="AI63" s="34"/>
      <c r="AJ63" s="34"/>
      <c r="AK63" s="84"/>
    </row>
    <row r="64" spans="1:42" ht="62" customHeight="1">
      <c r="A64" s="39">
        <v>58</v>
      </c>
      <c r="B64" s="45" t="s">
        <v>121</v>
      </c>
      <c r="C64" s="48" t="s">
        <v>158</v>
      </c>
      <c r="D64" s="48" t="s">
        <v>158</v>
      </c>
      <c r="E64" s="48" t="s">
        <v>158</v>
      </c>
      <c r="F64" s="48" t="s">
        <v>158</v>
      </c>
      <c r="G64" s="48" t="s">
        <v>158</v>
      </c>
      <c r="H64" s="49" t="s">
        <v>58</v>
      </c>
      <c r="I64" s="50"/>
      <c r="J64" s="48" t="s">
        <v>158</v>
      </c>
      <c r="K64" s="48" t="s">
        <v>158</v>
      </c>
      <c r="L64" s="48" t="s">
        <v>158</v>
      </c>
      <c r="M64" s="48" t="s">
        <v>304</v>
      </c>
      <c r="N64" s="48" t="s">
        <v>158</v>
      </c>
      <c r="O64" s="49" t="s">
        <v>58</v>
      </c>
      <c r="P64" s="50"/>
      <c r="Q64" s="48" t="s">
        <v>158</v>
      </c>
      <c r="R64" s="48" t="s">
        <v>58</v>
      </c>
      <c r="S64" s="48" t="s">
        <v>158</v>
      </c>
      <c r="T64" s="48" t="s">
        <v>158</v>
      </c>
      <c r="U64" s="48" t="s">
        <v>158</v>
      </c>
      <c r="V64" s="49" t="s">
        <v>158</v>
      </c>
      <c r="W64" s="50"/>
      <c r="X64" s="48" t="s">
        <v>158</v>
      </c>
      <c r="Y64" s="48" t="s">
        <v>158</v>
      </c>
      <c r="Z64" s="48" t="s">
        <v>158</v>
      </c>
      <c r="AA64" s="48" t="s">
        <v>58</v>
      </c>
      <c r="AB64" s="48" t="s">
        <v>158</v>
      </c>
      <c r="AC64" s="49" t="s">
        <v>158</v>
      </c>
      <c r="AD64" s="50"/>
      <c r="AE64" s="48" t="s">
        <v>158</v>
      </c>
      <c r="AF64" s="50"/>
      <c r="AG64" s="50"/>
      <c r="AH64" s="28" t="str">
        <f t="shared" si="1"/>
        <v>苅込　</v>
      </c>
      <c r="AI64" s="34"/>
      <c r="AJ64" s="34"/>
      <c r="AK64" s="84"/>
    </row>
    <row r="65" spans="1:37" ht="62" customHeight="1">
      <c r="A65" s="39">
        <v>59</v>
      </c>
      <c r="B65" s="45" t="s">
        <v>122</v>
      </c>
      <c r="C65" s="48" t="s">
        <v>158</v>
      </c>
      <c r="D65" s="48" t="s">
        <v>158</v>
      </c>
      <c r="E65" s="48" t="s">
        <v>35</v>
      </c>
      <c r="F65" s="30" t="s">
        <v>158</v>
      </c>
      <c r="G65" s="48" t="s">
        <v>33</v>
      </c>
      <c r="H65" s="49" t="s">
        <v>128</v>
      </c>
      <c r="I65" s="50"/>
      <c r="J65" s="48" t="s">
        <v>158</v>
      </c>
      <c r="K65" s="48" t="s">
        <v>58</v>
      </c>
      <c r="L65" s="48" t="s">
        <v>158</v>
      </c>
      <c r="M65" s="48" t="s">
        <v>158</v>
      </c>
      <c r="N65" s="30" t="s">
        <v>158</v>
      </c>
      <c r="O65" s="49" t="s">
        <v>33</v>
      </c>
      <c r="P65" s="50"/>
      <c r="Q65" s="48" t="s">
        <v>158</v>
      </c>
      <c r="R65" s="48" t="s">
        <v>158</v>
      </c>
      <c r="S65" s="48" t="s">
        <v>158</v>
      </c>
      <c r="T65" s="30" t="s">
        <v>158</v>
      </c>
      <c r="U65" s="48" t="s">
        <v>33</v>
      </c>
      <c r="V65" s="49" t="s">
        <v>58</v>
      </c>
      <c r="W65" s="50"/>
      <c r="X65" s="48" t="s">
        <v>158</v>
      </c>
      <c r="Y65" s="48" t="s">
        <v>49</v>
      </c>
      <c r="Z65" s="48" t="s">
        <v>158</v>
      </c>
      <c r="AA65" s="48" t="s">
        <v>158</v>
      </c>
      <c r="AB65" s="48" t="s">
        <v>158</v>
      </c>
      <c r="AC65" s="49" t="s">
        <v>128</v>
      </c>
      <c r="AD65" s="50"/>
      <c r="AE65" s="48" t="s">
        <v>158</v>
      </c>
      <c r="AF65" s="50"/>
      <c r="AG65" s="50"/>
      <c r="AH65" s="28" t="str">
        <f t="shared" si="1"/>
        <v>松本　</v>
      </c>
      <c r="AI65" s="34"/>
      <c r="AJ65" s="34" t="s">
        <v>38</v>
      </c>
      <c r="AK65" s="84"/>
    </row>
    <row r="66" spans="1:37" ht="62" customHeight="1">
      <c r="A66" s="39">
        <v>60</v>
      </c>
      <c r="B66" s="45" t="s">
        <v>123</v>
      </c>
      <c r="C66" s="48" t="s">
        <v>158</v>
      </c>
      <c r="D66" s="48" t="s">
        <v>158</v>
      </c>
      <c r="E66" s="48" t="s">
        <v>158</v>
      </c>
      <c r="F66" s="48" t="s">
        <v>303</v>
      </c>
      <c r="G66" s="48" t="s">
        <v>158</v>
      </c>
      <c r="H66" s="49" t="s">
        <v>158</v>
      </c>
      <c r="I66" s="50"/>
      <c r="J66" s="48" t="s">
        <v>58</v>
      </c>
      <c r="K66" s="48" t="s">
        <v>158</v>
      </c>
      <c r="L66" s="48" t="s">
        <v>158</v>
      </c>
      <c r="M66" s="48" t="s">
        <v>158</v>
      </c>
      <c r="N66" s="48" t="s">
        <v>158</v>
      </c>
      <c r="O66" s="49" t="s">
        <v>158</v>
      </c>
      <c r="P66" s="50"/>
      <c r="Q66" s="48" t="s">
        <v>158</v>
      </c>
      <c r="R66" s="48" t="s">
        <v>158</v>
      </c>
      <c r="S66" s="48" t="s">
        <v>225</v>
      </c>
      <c r="T66" s="48" t="s">
        <v>305</v>
      </c>
      <c r="U66" s="48" t="s">
        <v>158</v>
      </c>
      <c r="V66" s="49" t="s">
        <v>58</v>
      </c>
      <c r="W66" s="50"/>
      <c r="X66" s="48" t="s">
        <v>158</v>
      </c>
      <c r="Y66" s="48" t="s">
        <v>158</v>
      </c>
      <c r="Z66" s="48" t="s">
        <v>305</v>
      </c>
      <c r="AA66" s="48" t="s">
        <v>158</v>
      </c>
      <c r="AB66" s="48" t="s">
        <v>58</v>
      </c>
      <c r="AC66" s="49" t="s">
        <v>58</v>
      </c>
      <c r="AD66" s="50"/>
      <c r="AE66" s="48" t="s">
        <v>58</v>
      </c>
      <c r="AF66" s="50"/>
      <c r="AG66" s="50"/>
      <c r="AH66" s="28" t="str">
        <f t="shared" si="1"/>
        <v>棚町　</v>
      </c>
      <c r="AI66" s="34"/>
      <c r="AJ66" s="34"/>
      <c r="AK66" s="84"/>
    </row>
    <row r="67" spans="1:37" ht="62" customHeight="1">
      <c r="A67" s="39">
        <v>61</v>
      </c>
      <c r="B67" s="45" t="s">
        <v>124</v>
      </c>
      <c r="C67" s="48" t="s">
        <v>58</v>
      </c>
      <c r="D67" s="48" t="s">
        <v>158</v>
      </c>
      <c r="E67" s="48" t="s">
        <v>158</v>
      </c>
      <c r="F67" s="48" t="s">
        <v>158</v>
      </c>
      <c r="G67" s="48" t="s">
        <v>158</v>
      </c>
      <c r="H67" s="49" t="s">
        <v>158</v>
      </c>
      <c r="I67" s="50"/>
      <c r="J67" s="48" t="s">
        <v>158</v>
      </c>
      <c r="K67" s="48" t="s">
        <v>158</v>
      </c>
      <c r="L67" s="48" t="s">
        <v>158</v>
      </c>
      <c r="M67" s="48" t="s">
        <v>158</v>
      </c>
      <c r="N67" s="48" t="s">
        <v>158</v>
      </c>
      <c r="O67" s="49" t="s">
        <v>58</v>
      </c>
      <c r="P67" s="50"/>
      <c r="Q67" s="48" t="s">
        <v>158</v>
      </c>
      <c r="R67" s="48" t="s">
        <v>158</v>
      </c>
      <c r="S67" s="48" t="s">
        <v>158</v>
      </c>
      <c r="T67" s="48" t="s">
        <v>158</v>
      </c>
      <c r="U67" s="48" t="s">
        <v>158</v>
      </c>
      <c r="V67" s="49" t="s">
        <v>158</v>
      </c>
      <c r="W67" s="50"/>
      <c r="X67" s="48" t="s">
        <v>58</v>
      </c>
      <c r="Y67" s="48" t="s">
        <v>158</v>
      </c>
      <c r="Z67" s="48" t="s">
        <v>158</v>
      </c>
      <c r="AA67" s="48" t="s">
        <v>158</v>
      </c>
      <c r="AB67" s="48" t="s">
        <v>158</v>
      </c>
      <c r="AC67" s="49" t="s">
        <v>158</v>
      </c>
      <c r="AD67" s="50"/>
      <c r="AE67" s="48" t="s">
        <v>58</v>
      </c>
      <c r="AF67" s="50"/>
      <c r="AG67" s="50"/>
      <c r="AH67" s="28" t="str">
        <f t="shared" si="1"/>
        <v>佐藤　</v>
      </c>
      <c r="AI67" s="34"/>
      <c r="AJ67" s="34"/>
      <c r="AK67" s="84"/>
    </row>
    <row r="68" spans="1:37" ht="62" customHeight="1">
      <c r="A68" s="39">
        <v>62</v>
      </c>
      <c r="B68" s="45" t="s">
        <v>125</v>
      </c>
      <c r="C68" s="48" t="s">
        <v>158</v>
      </c>
      <c r="D68" s="48" t="s">
        <v>158</v>
      </c>
      <c r="E68" s="48" t="s">
        <v>58</v>
      </c>
      <c r="F68" s="48" t="s">
        <v>158</v>
      </c>
      <c r="G68" s="48" t="s">
        <v>158</v>
      </c>
      <c r="H68" s="49" t="s">
        <v>158</v>
      </c>
      <c r="I68" s="50"/>
      <c r="J68" s="48" t="s">
        <v>158</v>
      </c>
      <c r="K68" s="48" t="s">
        <v>158</v>
      </c>
      <c r="L68" s="48" t="s">
        <v>158</v>
      </c>
      <c r="M68" s="48" t="s">
        <v>158</v>
      </c>
      <c r="N68" s="48" t="s">
        <v>58</v>
      </c>
      <c r="O68" s="49" t="s">
        <v>158</v>
      </c>
      <c r="P68" s="50"/>
      <c r="Q68" s="48" t="s">
        <v>158</v>
      </c>
      <c r="R68" s="48" t="s">
        <v>158</v>
      </c>
      <c r="S68" s="48" t="s">
        <v>158</v>
      </c>
      <c r="T68" s="48" t="s">
        <v>158</v>
      </c>
      <c r="U68" s="48" t="s">
        <v>158</v>
      </c>
      <c r="V68" s="49" t="s">
        <v>58</v>
      </c>
      <c r="W68" s="50"/>
      <c r="X68" s="48" t="s">
        <v>158</v>
      </c>
      <c r="Y68" s="48" t="s">
        <v>158</v>
      </c>
      <c r="Z68" s="48" t="s">
        <v>158</v>
      </c>
      <c r="AA68" s="48" t="s">
        <v>158</v>
      </c>
      <c r="AB68" s="48" t="s">
        <v>158</v>
      </c>
      <c r="AC68" s="49" t="s">
        <v>158</v>
      </c>
      <c r="AD68" s="50"/>
      <c r="AE68" s="48" t="s">
        <v>58</v>
      </c>
      <c r="AF68" s="50"/>
      <c r="AG68" s="50"/>
      <c r="AH68" s="28" t="str">
        <f t="shared" si="1"/>
        <v>荒井　</v>
      </c>
      <c r="AI68" s="34"/>
      <c r="AJ68" s="34"/>
      <c r="AK68" s="84"/>
    </row>
    <row r="69" spans="1:37" ht="62" customHeight="1">
      <c r="A69" s="39">
        <v>63</v>
      </c>
      <c r="B69" s="45" t="s">
        <v>126</v>
      </c>
      <c r="C69" s="48" t="s">
        <v>158</v>
      </c>
      <c r="D69" s="48" t="s">
        <v>58</v>
      </c>
      <c r="E69" s="48" t="s">
        <v>158</v>
      </c>
      <c r="F69" s="48" t="s">
        <v>158</v>
      </c>
      <c r="G69" s="48" t="s">
        <v>158</v>
      </c>
      <c r="H69" s="49" t="s">
        <v>58</v>
      </c>
      <c r="I69" s="50"/>
      <c r="J69" s="48" t="s">
        <v>158</v>
      </c>
      <c r="K69" s="48" t="s">
        <v>158</v>
      </c>
      <c r="L69" s="48" t="s">
        <v>58</v>
      </c>
      <c r="M69" s="48" t="s">
        <v>158</v>
      </c>
      <c r="N69" s="48" t="s">
        <v>158</v>
      </c>
      <c r="O69" s="49" t="s">
        <v>158</v>
      </c>
      <c r="P69" s="50"/>
      <c r="Q69" s="48" t="s">
        <v>58</v>
      </c>
      <c r="R69" s="48" t="s">
        <v>158</v>
      </c>
      <c r="S69" s="48" t="s">
        <v>158</v>
      </c>
      <c r="T69" s="48" t="s">
        <v>158</v>
      </c>
      <c r="U69" s="48" t="s">
        <v>158</v>
      </c>
      <c r="V69" s="49" t="s">
        <v>158</v>
      </c>
      <c r="W69" s="50"/>
      <c r="X69" s="48" t="s">
        <v>158</v>
      </c>
      <c r="Y69" s="48" t="s">
        <v>158</v>
      </c>
      <c r="Z69" s="48" t="s">
        <v>158</v>
      </c>
      <c r="AA69" s="48" t="s">
        <v>158</v>
      </c>
      <c r="AB69" s="48" t="s">
        <v>158</v>
      </c>
      <c r="AC69" s="49" t="s">
        <v>158</v>
      </c>
      <c r="AD69" s="50"/>
      <c r="AE69" s="48" t="s">
        <v>158</v>
      </c>
      <c r="AF69" s="50"/>
      <c r="AG69" s="50"/>
      <c r="AH69" s="28" t="str">
        <f t="shared" si="1"/>
        <v>今溝　</v>
      </c>
      <c r="AI69" s="32"/>
      <c r="AJ69" s="32"/>
      <c r="AK69" s="84"/>
    </row>
    <row r="70" spans="1:37" ht="62" customHeight="1">
      <c r="A70" s="39">
        <v>64</v>
      </c>
      <c r="B70" s="47" t="s">
        <v>127</v>
      </c>
      <c r="C70" s="61" t="s">
        <v>143</v>
      </c>
      <c r="D70" s="61" t="s">
        <v>159</v>
      </c>
      <c r="E70" s="61" t="s">
        <v>159</v>
      </c>
      <c r="F70" s="61" t="s">
        <v>128</v>
      </c>
      <c r="G70" s="61" t="s">
        <v>159</v>
      </c>
      <c r="H70" s="62" t="s">
        <v>159</v>
      </c>
      <c r="I70" s="63"/>
      <c r="J70" s="61" t="s">
        <v>159</v>
      </c>
      <c r="K70" s="61" t="s">
        <v>159</v>
      </c>
      <c r="L70" s="61" t="s">
        <v>159</v>
      </c>
      <c r="M70" s="61" t="s">
        <v>128</v>
      </c>
      <c r="N70" s="61" t="s">
        <v>159</v>
      </c>
      <c r="O70" s="62" t="s">
        <v>159</v>
      </c>
      <c r="P70" s="63"/>
      <c r="Q70" s="61" t="s">
        <v>159</v>
      </c>
      <c r="R70" s="61" t="s">
        <v>128</v>
      </c>
      <c r="S70" s="61" t="s">
        <v>159</v>
      </c>
      <c r="T70" s="61" t="s">
        <v>159</v>
      </c>
      <c r="U70" s="61" t="s">
        <v>159</v>
      </c>
      <c r="V70" s="62" t="s">
        <v>159</v>
      </c>
      <c r="W70" s="63"/>
      <c r="X70" s="61" t="s">
        <v>159</v>
      </c>
      <c r="Y70" s="61" t="s">
        <v>159</v>
      </c>
      <c r="Z70" s="61" t="s">
        <v>159</v>
      </c>
      <c r="AA70" s="61" t="s">
        <v>128</v>
      </c>
      <c r="AB70" s="61" t="s">
        <v>159</v>
      </c>
      <c r="AC70" s="62" t="s">
        <v>159</v>
      </c>
      <c r="AD70" s="63"/>
      <c r="AE70" s="61" t="s">
        <v>159</v>
      </c>
      <c r="AF70" s="63"/>
      <c r="AG70" s="63"/>
      <c r="AH70" s="28" t="str">
        <f t="shared" ref="AH70" si="2">LEFT(B70,FIND("　",B70,1))</f>
        <v>遠藤　</v>
      </c>
      <c r="AI70" s="32"/>
      <c r="AJ70" s="32"/>
      <c r="AK70" s="84"/>
    </row>
    <row r="71" spans="1:37" ht="62" customHeight="1">
      <c r="A71" s="8"/>
      <c r="B71" s="64" t="s">
        <v>160</v>
      </c>
      <c r="C71" s="65" t="s">
        <v>290</v>
      </c>
      <c r="D71" s="65" t="s">
        <v>227</v>
      </c>
      <c r="E71" s="65" t="s">
        <v>227</v>
      </c>
      <c r="F71" s="65" t="s">
        <v>227</v>
      </c>
      <c r="G71" s="65" t="s">
        <v>227</v>
      </c>
      <c r="H71" s="66"/>
      <c r="I71" s="67"/>
      <c r="J71" s="65" t="s">
        <v>227</v>
      </c>
      <c r="K71" s="65" t="s">
        <v>227</v>
      </c>
      <c r="L71" s="65" t="s">
        <v>227</v>
      </c>
      <c r="M71" s="65" t="s">
        <v>227</v>
      </c>
      <c r="N71" s="65" t="s">
        <v>227</v>
      </c>
      <c r="O71" s="66"/>
      <c r="P71" s="67"/>
      <c r="Q71" s="65" t="s">
        <v>227</v>
      </c>
      <c r="R71" s="65" t="s">
        <v>227</v>
      </c>
      <c r="S71" s="65" t="s">
        <v>227</v>
      </c>
      <c r="T71" s="65" t="s">
        <v>227</v>
      </c>
      <c r="U71" s="65" t="s">
        <v>227</v>
      </c>
      <c r="V71" s="66"/>
      <c r="W71" s="67"/>
      <c r="X71" s="65" t="s">
        <v>227</v>
      </c>
      <c r="Y71" s="65" t="s">
        <v>227</v>
      </c>
      <c r="Z71" s="65" t="s">
        <v>227</v>
      </c>
      <c r="AA71" s="65" t="s">
        <v>227</v>
      </c>
      <c r="AB71" s="65" t="s">
        <v>227</v>
      </c>
      <c r="AC71" s="66"/>
      <c r="AD71" s="67"/>
      <c r="AE71" s="65" t="s">
        <v>227</v>
      </c>
      <c r="AF71" s="67"/>
      <c r="AG71" s="67"/>
      <c r="AH71" s="34"/>
      <c r="AI71" s="32"/>
      <c r="AJ71" s="32"/>
      <c r="AK71" s="84"/>
    </row>
    <row r="72" spans="1:37" ht="62" customHeight="1">
      <c r="A72" s="27"/>
      <c r="B72" s="68" t="s">
        <v>161</v>
      </c>
      <c r="C72" s="35" t="s">
        <v>169</v>
      </c>
      <c r="D72" s="35" t="s">
        <v>254</v>
      </c>
      <c r="E72" s="35" t="s">
        <v>236</v>
      </c>
      <c r="F72" s="35" t="s">
        <v>164</v>
      </c>
      <c r="G72" s="35" t="s">
        <v>166</v>
      </c>
      <c r="H72" s="69"/>
      <c r="I72" s="70"/>
      <c r="J72" s="35" t="s">
        <v>253</v>
      </c>
      <c r="K72" s="35" t="s">
        <v>268</v>
      </c>
      <c r="L72" s="35" t="s">
        <v>293</v>
      </c>
      <c r="M72" s="35" t="s">
        <v>171</v>
      </c>
      <c r="N72" s="35" t="s">
        <v>165</v>
      </c>
      <c r="O72" s="69"/>
      <c r="P72" s="70"/>
      <c r="Q72" s="35" t="s">
        <v>168</v>
      </c>
      <c r="R72" s="35" t="s">
        <v>164</v>
      </c>
      <c r="S72" s="35" t="s">
        <v>297</v>
      </c>
      <c r="T72" s="35" t="s">
        <v>163</v>
      </c>
      <c r="U72" s="35" t="s">
        <v>169</v>
      </c>
      <c r="V72" s="69"/>
      <c r="W72" s="70"/>
      <c r="X72" s="35" t="s">
        <v>165</v>
      </c>
      <c r="Y72" s="35" t="s">
        <v>254</v>
      </c>
      <c r="Z72" s="35" t="s">
        <v>167</v>
      </c>
      <c r="AA72" s="35" t="s">
        <v>162</v>
      </c>
      <c r="AB72" s="35" t="s">
        <v>253</v>
      </c>
      <c r="AC72" s="69"/>
      <c r="AD72" s="70"/>
      <c r="AE72" s="35" t="s">
        <v>170</v>
      </c>
      <c r="AF72" s="70"/>
      <c r="AG72" s="70"/>
      <c r="AH72" s="71" t="s">
        <v>241</v>
      </c>
      <c r="AI72" s="32"/>
      <c r="AJ72" s="32"/>
      <c r="AK72" s="84"/>
    </row>
    <row r="73" spans="1:37" ht="62" customHeight="1">
      <c r="A73" s="26"/>
      <c r="B73" s="72" t="s">
        <v>226</v>
      </c>
      <c r="C73" s="36" t="s">
        <v>236</v>
      </c>
      <c r="D73" s="36" t="s">
        <v>165</v>
      </c>
      <c r="E73" s="36" t="s">
        <v>162</v>
      </c>
      <c r="F73" s="36" t="s">
        <v>292</v>
      </c>
      <c r="G73" s="36" t="s">
        <v>293</v>
      </c>
      <c r="H73" s="73" t="s">
        <v>164</v>
      </c>
      <c r="I73" s="74"/>
      <c r="J73" s="36" t="s">
        <v>170</v>
      </c>
      <c r="K73" s="36" t="s">
        <v>175</v>
      </c>
      <c r="L73" s="36" t="s">
        <v>166</v>
      </c>
      <c r="M73" s="36" t="s">
        <v>169</v>
      </c>
      <c r="N73" s="36" t="s">
        <v>172</v>
      </c>
      <c r="O73" s="73" t="s">
        <v>171</v>
      </c>
      <c r="P73" s="74"/>
      <c r="Q73" s="36" t="s">
        <v>235</v>
      </c>
      <c r="R73" s="36" t="s">
        <v>162</v>
      </c>
      <c r="S73" s="36" t="s">
        <v>187</v>
      </c>
      <c r="T73" s="36" t="s">
        <v>164</v>
      </c>
      <c r="U73" s="36" t="s">
        <v>171</v>
      </c>
      <c r="V73" s="73" t="s">
        <v>292</v>
      </c>
      <c r="W73" s="74"/>
      <c r="X73" s="36" t="s">
        <v>293</v>
      </c>
      <c r="Y73" s="36" t="s">
        <v>170</v>
      </c>
      <c r="Z73" s="36" t="s">
        <v>169</v>
      </c>
      <c r="AA73" s="36" t="s">
        <v>166</v>
      </c>
      <c r="AB73" s="36" t="s">
        <v>163</v>
      </c>
      <c r="AC73" s="73" t="s">
        <v>172</v>
      </c>
      <c r="AD73" s="74"/>
      <c r="AE73" s="36" t="s">
        <v>167</v>
      </c>
      <c r="AF73" s="74"/>
      <c r="AG73" s="74"/>
      <c r="AH73" s="64" t="s">
        <v>34</v>
      </c>
      <c r="AI73" s="32"/>
      <c r="AJ73" s="32"/>
      <c r="AK73" s="84"/>
    </row>
    <row r="74" spans="1:37" ht="62" customHeight="1">
      <c r="A74" s="26"/>
      <c r="B74" s="72" t="s">
        <v>173</v>
      </c>
      <c r="C74" s="36" t="s">
        <v>176</v>
      </c>
      <c r="D74" s="36" t="s">
        <v>178</v>
      </c>
      <c r="E74" s="36" t="s">
        <v>293</v>
      </c>
      <c r="F74" s="36" t="s">
        <v>177</v>
      </c>
      <c r="G74" s="36" t="s">
        <v>292</v>
      </c>
      <c r="H74" s="73" t="s">
        <v>252</v>
      </c>
      <c r="I74" s="74"/>
      <c r="J74" s="36" t="s">
        <v>176</v>
      </c>
      <c r="K74" s="36" t="s">
        <v>172</v>
      </c>
      <c r="L74" s="36" t="s">
        <v>175</v>
      </c>
      <c r="M74" s="36" t="s">
        <v>167</v>
      </c>
      <c r="N74" s="36" t="s">
        <v>162</v>
      </c>
      <c r="O74" s="73" t="s">
        <v>174</v>
      </c>
      <c r="P74" s="74"/>
      <c r="Q74" s="36" t="s">
        <v>163</v>
      </c>
      <c r="R74" s="36" t="s">
        <v>235</v>
      </c>
      <c r="S74" s="36" t="s">
        <v>162</v>
      </c>
      <c r="T74" s="36" t="s">
        <v>178</v>
      </c>
      <c r="U74" s="36" t="s">
        <v>177</v>
      </c>
      <c r="V74" s="73"/>
      <c r="W74" s="74"/>
      <c r="X74" s="36" t="s">
        <v>174</v>
      </c>
      <c r="Y74" s="36" t="s">
        <v>293</v>
      </c>
      <c r="Z74" s="36" t="s">
        <v>172</v>
      </c>
      <c r="AA74" s="36" t="s">
        <v>175</v>
      </c>
      <c r="AB74" s="36" t="s">
        <v>235</v>
      </c>
      <c r="AC74" s="73" t="s">
        <v>163</v>
      </c>
      <c r="AD74" s="74"/>
      <c r="AE74" s="36" t="s">
        <v>292</v>
      </c>
      <c r="AF74" s="74"/>
      <c r="AG74" s="74"/>
      <c r="AH74" s="64" t="s">
        <v>179</v>
      </c>
      <c r="AI74" s="32"/>
      <c r="AJ74" s="32"/>
      <c r="AK74" s="84"/>
    </row>
    <row r="75" spans="1:37" ht="62" customHeight="1">
      <c r="A75" s="26"/>
      <c r="B75" s="72" t="s">
        <v>180</v>
      </c>
      <c r="C75" s="36" t="s">
        <v>238</v>
      </c>
      <c r="D75" s="36" t="s">
        <v>183</v>
      </c>
      <c r="E75" s="36" t="s">
        <v>184</v>
      </c>
      <c r="F75" s="36" t="s">
        <v>181</v>
      </c>
      <c r="G75" s="36"/>
      <c r="H75" s="73"/>
      <c r="I75" s="74"/>
      <c r="J75" s="36" t="s">
        <v>181</v>
      </c>
      <c r="K75" s="36" t="s">
        <v>185</v>
      </c>
      <c r="L75" s="36" t="s">
        <v>184</v>
      </c>
      <c r="M75" s="36" t="s">
        <v>198</v>
      </c>
      <c r="N75" s="36"/>
      <c r="O75" s="73"/>
      <c r="P75" s="74"/>
      <c r="Q75" s="36" t="s">
        <v>183</v>
      </c>
      <c r="R75" s="36" t="s">
        <v>238</v>
      </c>
      <c r="S75" s="36" t="s">
        <v>181</v>
      </c>
      <c r="T75" s="36" t="s">
        <v>198</v>
      </c>
      <c r="U75" s="36"/>
      <c r="V75" s="73"/>
      <c r="W75" s="74"/>
      <c r="X75" s="36" t="s">
        <v>184</v>
      </c>
      <c r="Y75" s="36" t="s">
        <v>185</v>
      </c>
      <c r="Z75" s="36" t="s">
        <v>198</v>
      </c>
      <c r="AA75" s="36" t="s">
        <v>182</v>
      </c>
      <c r="AB75" s="36"/>
      <c r="AC75" s="73"/>
      <c r="AD75" s="74"/>
      <c r="AE75" s="36" t="s">
        <v>183</v>
      </c>
      <c r="AF75" s="74"/>
      <c r="AG75" s="74"/>
      <c r="AH75" s="64" t="s">
        <v>242</v>
      </c>
      <c r="AI75" s="32"/>
      <c r="AJ75" s="32"/>
      <c r="AK75" s="84"/>
    </row>
    <row r="76" spans="1:37" ht="62" customHeight="1">
      <c r="A76" s="26"/>
      <c r="B76" s="72" t="s">
        <v>186</v>
      </c>
      <c r="C76" s="36" t="s">
        <v>162</v>
      </c>
      <c r="D76" s="36" t="s">
        <v>168</v>
      </c>
      <c r="E76" s="36" t="s">
        <v>195</v>
      </c>
      <c r="F76" s="36" t="s">
        <v>174</v>
      </c>
      <c r="G76" s="36" t="s">
        <v>185</v>
      </c>
      <c r="H76" s="73" t="s">
        <v>170</v>
      </c>
      <c r="I76" s="74" t="s">
        <v>296</v>
      </c>
      <c r="J76" s="36" t="s">
        <v>165</v>
      </c>
      <c r="K76" s="36" t="s">
        <v>164</v>
      </c>
      <c r="L76" s="36" t="s">
        <v>169</v>
      </c>
      <c r="M76" s="36" t="s">
        <v>237</v>
      </c>
      <c r="N76" s="36" t="s">
        <v>170</v>
      </c>
      <c r="O76" s="73" t="s">
        <v>293</v>
      </c>
      <c r="P76" s="74" t="s">
        <v>190</v>
      </c>
      <c r="Q76" s="36" t="s">
        <v>168</v>
      </c>
      <c r="R76" s="36" t="s">
        <v>166</v>
      </c>
      <c r="S76" s="36" t="s">
        <v>301</v>
      </c>
      <c r="T76" s="36" t="s">
        <v>166</v>
      </c>
      <c r="U76" s="36" t="s">
        <v>174</v>
      </c>
      <c r="V76" s="73" t="s">
        <v>268</v>
      </c>
      <c r="W76" s="74" t="s">
        <v>194</v>
      </c>
      <c r="X76" s="36" t="s">
        <v>236</v>
      </c>
      <c r="Y76" s="36" t="s">
        <v>195</v>
      </c>
      <c r="Z76" s="36" t="s">
        <v>292</v>
      </c>
      <c r="AA76" s="36" t="s">
        <v>300</v>
      </c>
      <c r="AB76" s="36" t="s">
        <v>169</v>
      </c>
      <c r="AC76" s="73" t="s">
        <v>165</v>
      </c>
      <c r="AD76" s="74" t="s">
        <v>184</v>
      </c>
      <c r="AE76" s="36" t="s">
        <v>172</v>
      </c>
      <c r="AF76" s="74" t="s">
        <v>189</v>
      </c>
      <c r="AG76" s="74" t="s">
        <v>177</v>
      </c>
      <c r="AH76" s="64" t="s">
        <v>191</v>
      </c>
      <c r="AI76" s="32"/>
      <c r="AJ76" s="32"/>
      <c r="AK76" s="85"/>
    </row>
    <row r="77" spans="1:37" ht="62" customHeight="1">
      <c r="A77" s="25"/>
      <c r="B77" s="75" t="s">
        <v>192</v>
      </c>
      <c r="C77" s="36" t="s">
        <v>190</v>
      </c>
      <c r="D77" s="36" t="s">
        <v>196</v>
      </c>
      <c r="E77" s="36" t="s">
        <v>237</v>
      </c>
      <c r="F77" s="36" t="s">
        <v>194</v>
      </c>
      <c r="G77" s="36" t="s">
        <v>187</v>
      </c>
      <c r="H77" s="73" t="s">
        <v>167</v>
      </c>
      <c r="I77" s="74" t="s">
        <v>236</v>
      </c>
      <c r="J77" s="36" t="s">
        <v>182</v>
      </c>
      <c r="K77" s="36" t="s">
        <v>197</v>
      </c>
      <c r="L77" s="36" t="s">
        <v>196</v>
      </c>
      <c r="M77" s="36" t="s">
        <v>193</v>
      </c>
      <c r="N77" s="36" t="s">
        <v>296</v>
      </c>
      <c r="O77" s="73" t="s">
        <v>188</v>
      </c>
      <c r="P77" s="74" t="s">
        <v>167</v>
      </c>
      <c r="Q77" s="36" t="s">
        <v>184</v>
      </c>
      <c r="R77" s="36" t="s">
        <v>189</v>
      </c>
      <c r="S77" s="36" t="s">
        <v>182</v>
      </c>
      <c r="T77" s="36" t="s">
        <v>238</v>
      </c>
      <c r="U77" s="36" t="s">
        <v>187</v>
      </c>
      <c r="V77" s="73" t="s">
        <v>295</v>
      </c>
      <c r="W77" s="74" t="s">
        <v>164</v>
      </c>
      <c r="X77" s="36" t="s">
        <v>197</v>
      </c>
      <c r="Y77" s="36" t="s">
        <v>193</v>
      </c>
      <c r="Z77" s="36" t="s">
        <v>185</v>
      </c>
      <c r="AA77" s="36" t="s">
        <v>189</v>
      </c>
      <c r="AB77" s="36" t="s">
        <v>296</v>
      </c>
      <c r="AC77" s="73" t="s">
        <v>235</v>
      </c>
      <c r="AD77" s="74" t="s">
        <v>166</v>
      </c>
      <c r="AE77" s="36" t="s">
        <v>188</v>
      </c>
      <c r="AF77" s="74" t="s">
        <v>175</v>
      </c>
      <c r="AG77" s="74" t="s">
        <v>162</v>
      </c>
      <c r="AH77" s="64" t="s">
        <v>199</v>
      </c>
      <c r="AI77" s="29"/>
      <c r="AJ77" s="29"/>
    </row>
    <row r="78" spans="1:37" ht="62" customHeight="1">
      <c r="A78" s="15"/>
      <c r="B78" s="76" t="s">
        <v>200</v>
      </c>
      <c r="C78" s="36" t="s">
        <v>251</v>
      </c>
      <c r="D78" s="36" t="s">
        <v>203</v>
      </c>
      <c r="E78" s="36" t="s">
        <v>204</v>
      </c>
      <c r="F78" s="36" t="s">
        <v>204</v>
      </c>
      <c r="G78" s="36" t="s">
        <v>204</v>
      </c>
      <c r="H78" s="73" t="s">
        <v>204</v>
      </c>
      <c r="I78" s="74" t="s">
        <v>204</v>
      </c>
      <c r="J78" s="36" t="s">
        <v>201</v>
      </c>
      <c r="K78" s="36" t="s">
        <v>201</v>
      </c>
      <c r="L78" s="36" t="s">
        <v>201</v>
      </c>
      <c r="M78" s="36" t="s">
        <v>251</v>
      </c>
      <c r="N78" s="36" t="s">
        <v>251</v>
      </c>
      <c r="O78" s="73" t="s">
        <v>251</v>
      </c>
      <c r="P78" s="74" t="s">
        <v>251</v>
      </c>
      <c r="Q78" s="36" t="s">
        <v>205</v>
      </c>
      <c r="R78" s="36" t="s">
        <v>205</v>
      </c>
      <c r="S78" s="36" t="s">
        <v>205</v>
      </c>
      <c r="T78" s="36" t="s">
        <v>201</v>
      </c>
      <c r="U78" s="36" t="s">
        <v>201</v>
      </c>
      <c r="V78" s="73" t="s">
        <v>201</v>
      </c>
      <c r="W78" s="74" t="s">
        <v>201</v>
      </c>
      <c r="X78" s="36" t="s">
        <v>202</v>
      </c>
      <c r="Y78" s="36" t="s">
        <v>240</v>
      </c>
      <c r="Z78" s="36" t="s">
        <v>240</v>
      </c>
      <c r="AA78" s="36" t="s">
        <v>240</v>
      </c>
      <c r="AB78" s="36" t="s">
        <v>205</v>
      </c>
      <c r="AC78" s="73" t="s">
        <v>205</v>
      </c>
      <c r="AD78" s="74" t="s">
        <v>205</v>
      </c>
      <c r="AE78" s="36" t="s">
        <v>202</v>
      </c>
      <c r="AF78" s="74" t="s">
        <v>202</v>
      </c>
      <c r="AG78" s="74" t="s">
        <v>251</v>
      </c>
      <c r="AH78" s="64" t="s">
        <v>200</v>
      </c>
      <c r="AI78" s="29"/>
      <c r="AJ78" s="29"/>
    </row>
    <row r="79" spans="1:37" ht="62" customHeight="1">
      <c r="A79" s="15"/>
      <c r="B79" s="76" t="s">
        <v>206</v>
      </c>
      <c r="C79" s="36" t="s">
        <v>207</v>
      </c>
      <c r="D79" s="36" t="s">
        <v>208</v>
      </c>
      <c r="E79" s="36" t="s">
        <v>208</v>
      </c>
      <c r="F79" s="77" t="s">
        <v>209</v>
      </c>
      <c r="G79" s="36" t="s">
        <v>208</v>
      </c>
      <c r="H79" s="73" t="s">
        <v>208</v>
      </c>
      <c r="I79" s="74" t="s">
        <v>208</v>
      </c>
      <c r="J79" s="36" t="s">
        <v>208</v>
      </c>
      <c r="K79" s="36" t="s">
        <v>208</v>
      </c>
      <c r="L79" s="36" t="s">
        <v>208</v>
      </c>
      <c r="M79" s="36" t="s">
        <v>208</v>
      </c>
      <c r="N79" s="77" t="s">
        <v>209</v>
      </c>
      <c r="O79" s="73" t="s">
        <v>208</v>
      </c>
      <c r="P79" s="74" t="s">
        <v>208</v>
      </c>
      <c r="Q79" s="36" t="s">
        <v>208</v>
      </c>
      <c r="R79" s="36" t="s">
        <v>208</v>
      </c>
      <c r="S79" s="36" t="s">
        <v>208</v>
      </c>
      <c r="T79" s="36" t="s">
        <v>208</v>
      </c>
      <c r="U79" s="77" t="s">
        <v>209</v>
      </c>
      <c r="V79" s="73" t="s">
        <v>208</v>
      </c>
      <c r="W79" s="77" t="s">
        <v>295</v>
      </c>
      <c r="X79" s="36" t="s">
        <v>208</v>
      </c>
      <c r="Y79" s="36" t="s">
        <v>208</v>
      </c>
      <c r="Z79" s="36" t="s">
        <v>208</v>
      </c>
      <c r="AA79" s="77" t="s">
        <v>209</v>
      </c>
      <c r="AB79" s="36" t="s">
        <v>208</v>
      </c>
      <c r="AC79" s="73" t="s">
        <v>208</v>
      </c>
      <c r="AD79" s="74" t="s">
        <v>208</v>
      </c>
      <c r="AE79" s="36" t="s">
        <v>208</v>
      </c>
      <c r="AF79" s="74" t="s">
        <v>208</v>
      </c>
      <c r="AG79" s="74" t="s">
        <v>208</v>
      </c>
      <c r="AH79" s="64" t="s">
        <v>206</v>
      </c>
      <c r="AI79" s="29"/>
      <c r="AJ79" s="29"/>
    </row>
    <row r="80" spans="1:37">
      <c r="A80" s="16"/>
      <c r="B80" s="17" t="s">
        <v>210</v>
      </c>
      <c r="C80" s="79" t="s">
        <v>239</v>
      </c>
      <c r="D80" s="80"/>
      <c r="E80" s="80"/>
      <c r="F80" s="80"/>
      <c r="G80" s="80"/>
      <c r="H80" s="80"/>
      <c r="I80" s="80"/>
      <c r="J80" s="80"/>
      <c r="K80" s="80"/>
      <c r="L80" s="80"/>
      <c r="M80" s="80"/>
      <c r="N80" s="80"/>
      <c r="O80" s="80"/>
      <c r="P80" s="80"/>
      <c r="Q80" s="80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80"/>
      <c r="AC80" s="80"/>
      <c r="AD80" s="80"/>
      <c r="AE80" s="80"/>
      <c r="AF80" s="80"/>
      <c r="AG80" s="80"/>
      <c r="AH80" s="81"/>
    </row>
  </sheetData>
  <mergeCells count="5">
    <mergeCell ref="C80:AH80"/>
    <mergeCell ref="B1:AG1"/>
    <mergeCell ref="B2:AD2"/>
    <mergeCell ref="AK4:AK76"/>
    <mergeCell ref="AI2:AJ2"/>
  </mergeCells>
  <phoneticPr fontId="2"/>
  <conditionalFormatting sqref="AO52">
    <cfRule type="containsText" dxfId="21" priority="122" operator="containsText" text="☆">
      <formula>NOT(ISERROR(SEARCH("☆",AO52)))</formula>
    </cfRule>
  </conditionalFormatting>
  <conditionalFormatting sqref="A1:XFD2 A81:XFD1048576 AI3:XFD80">
    <cfRule type="containsText" dxfId="20" priority="120" operator="containsText" text="★">
      <formula>NOT(ISERROR(SEARCH("★",A1)))</formula>
    </cfRule>
    <cfRule type="containsText" dxfId="19" priority="121" operator="containsText" text="☆">
      <formula>NOT(ISERROR(SEARCH("☆",A1)))</formula>
    </cfRule>
  </conditionalFormatting>
  <conditionalFormatting sqref="C71:AF71">
    <cfRule type="containsText" dxfId="18" priority="19" operator="containsText" text="AI夜">
      <formula>NOT(ISERROR(SEARCH("AI夜",C71)))</formula>
    </cfRule>
  </conditionalFormatting>
  <conditionalFormatting sqref="AG71">
    <cfRule type="containsText" dxfId="17" priority="18" operator="containsText" text="AI夜">
      <formula>NOT(ISERROR(SEARCH("AI夜",AG71)))</formula>
    </cfRule>
  </conditionalFormatting>
  <conditionalFormatting sqref="C40 C25:D26 C30:E30 C64:E64 G64:H64 C29:H29 C28:F28 H28:K28 C36:G36 C16:G16 J16:L16 C13:H13 C21:H23 C33:I33 C43:J43 M21:O21 M28:P28 M18:O18 C19:M19 O19 S32:V32 T19:W19 U22 V26:Y26 P26:T26 Y31:Z31 Z48 X24 AB39:AF39 AB17:AE17 AC23:AF23 AC27:AF28 AA26:AF26 Y19:AB19 AD18:AF19 AE13:AF13 AE64 AA50:AD50 AA21:AD21 P6:V6 AF6 N64:O64 K59:U59 AD25:AF25 AF21:AG21 AE34:AG34 AF50:AF70 AG35:AG43 X52:Z55 W52:W59 X62:AE63 X64:AC64 W62:W70 U36:Z36 W32:Z33 W27:AA27 R18:AB18 U16:X16 O13 W6:W12 C15:H15 F25:H26 L27:U27 D38:H38 P8:P14 Q19:R19 Q21:R21 P18:P21 P35:P36 C62:H63 P63:V64 J6:N6 J17:Q17 I15:I17 J26:N26 J21:K21 J22:S22 I21:I26 C37:Z37 I38:I39 J63:O63 J64:L64 I62:I70 C12:O12 P31:W31 K33:U33 N40:O40 I36:O36 C34:J34 AA22:AA23 J24:V24 Z24:AF24 AB22:AF22 Q13:AC13 Q35:T35 AA35:AF38 C17:H17 C18:K18 C14:O14 C60:AE61 J62:V62 C5:AF5 X6:AD6 J8:O11 N16:S16 J13:M13 J29:AG29 J55:V58 C55:I59 X56:AE59 R28:AA28 T21:W21 C32:Q32 Q36:S36 X21:Z23 C46 C35:E35 C24:G24 E40:L40 J23:W23 J38:T38 V38:Z38 AA43:AF49 AA40:AF41 C27:J27 C44:Z45 C6:I11 J7:V7 J39:O39 G35:O35 C20:O20 C42:AF42 H41:W41 L34:AC34 Q20:AF20 V35:Z35 C39:H39 Y41:Z41 AA31:AF33 AA51:AE55 C65:H70 J65:V70 X65:AE70 S17:Z17 Q8:V12 X7:AF12 L43:Y43 C31:N31 P39:Z40 C48:G48 C49:Z51 I48:X48 C47:Z47 AA30:AE30 J15:AA15 G30:Y30 J25:AB25 Q14:AA14 AB14:AF15 Z16:AE16 C52:V54 C41:F41 E46:Z46">
    <cfRule type="containsText" dxfId="16" priority="17" operator="containsText" text="AI夜">
      <formula>NOT(ISERROR(SEARCH("AI夜",C5)))</formula>
    </cfRule>
  </conditionalFormatting>
  <conditionalFormatting sqref="V22">
    <cfRule type="containsText" dxfId="15" priority="16" operator="containsText" text="AI夜">
      <formula>NOT(ISERROR(SEARCH("AI夜",V22)))</formula>
    </cfRule>
  </conditionalFormatting>
  <conditionalFormatting sqref="W24">
    <cfRule type="containsText" dxfId="14" priority="15" operator="containsText" text="AI夜">
      <formula>NOT(ISERROR(SEARCH("AI夜",W24)))</formula>
    </cfRule>
  </conditionalFormatting>
  <conditionalFormatting sqref="W22">
    <cfRule type="containsText" dxfId="13" priority="14" operator="containsText" text="AI夜">
      <formula>NOT(ISERROR(SEARCH("AI夜",W22)))</formula>
    </cfRule>
  </conditionalFormatting>
  <conditionalFormatting sqref="AG31">
    <cfRule type="containsText" dxfId="12" priority="13" operator="containsText" text="AI夜">
      <formula>NOT(ISERROR(SEARCH("AI夜",AG31)))</formula>
    </cfRule>
  </conditionalFormatting>
  <conditionalFormatting sqref="AG44:AG46">
    <cfRule type="containsText" dxfId="11" priority="12" operator="containsText" text="AI夜">
      <formula>NOT(ISERROR(SEARCH("AI夜",AG44)))</formula>
    </cfRule>
  </conditionalFormatting>
  <conditionalFormatting sqref="AG48:AG51">
    <cfRule type="containsText" dxfId="10" priority="11" operator="containsText" text="AI夜">
      <formula>NOT(ISERROR(SEARCH("AI夜",AG48)))</formula>
    </cfRule>
  </conditionalFormatting>
  <conditionalFormatting sqref="AG53:AG70">
    <cfRule type="containsText" dxfId="9" priority="10" operator="containsText" text="AI夜">
      <formula>NOT(ISERROR(SEARCH("AI夜",AG53)))</formula>
    </cfRule>
  </conditionalFormatting>
  <conditionalFormatting sqref="AG52">
    <cfRule type="containsText" dxfId="8" priority="9" operator="containsText" text="AI夜">
      <formula>NOT(ISERROR(SEARCH("AI夜",AG52)))</formula>
    </cfRule>
  </conditionalFormatting>
  <conditionalFormatting sqref="AG47">
    <cfRule type="containsText" dxfId="7" priority="8" operator="containsText" text="AI夜">
      <formula>NOT(ISERROR(SEARCH("AI夜",AG47)))</formula>
    </cfRule>
  </conditionalFormatting>
  <conditionalFormatting sqref="AG16:AG17">
    <cfRule type="containsText" dxfId="6" priority="7" operator="containsText" text="AI夜">
      <formula>NOT(ISERROR(SEARCH("AI夜",AG16)))</formula>
    </cfRule>
  </conditionalFormatting>
  <conditionalFormatting sqref="AG24">
    <cfRule type="containsText" dxfId="5" priority="6" operator="containsText" text="AI夜">
      <formula>NOT(ISERROR(SEARCH("AI夜",AG24)))</formula>
    </cfRule>
  </conditionalFormatting>
  <conditionalFormatting sqref="C5:AG70">
    <cfRule type="containsText" dxfId="4" priority="5" operator="containsText" text="○">
      <formula>NOT(ISERROR(SEARCH("○",C5)))</formula>
    </cfRule>
    <cfRule type="containsText" dxfId="3" priority="4" operator="containsText" text="☆">
      <formula>NOT(ISERROR(SEARCH("☆",C5)))</formula>
    </cfRule>
    <cfRule type="containsText" dxfId="2" priority="3" operator="containsText" text="◆">
      <formula>NOT(ISERROR(SEARCH("◆",C5)))</formula>
    </cfRule>
    <cfRule type="containsText" dxfId="1" priority="2" operator="containsText" text="★">
      <formula>NOT(ISERROR(SEARCH("★",C5)))</formula>
    </cfRule>
    <cfRule type="containsText" dxfId="0" priority="1" operator="containsText" text="超遅">
      <formula>NOT(ISERROR(SEARCH("超遅",C5)))</formula>
    </cfRule>
  </conditionalFormatting>
  <pageMargins left="1.8110236220472442" right="0.23622047244094491" top="0.74803149606299213" bottom="0.74803149606299213" header="0.31496062992125984" footer="0.31496062992125984"/>
  <pageSetup paperSize="8" scale="16" orientation="landscape" verticalDpi="3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48EAFB21-FE27-423F-B567-E3D181F7241E}">
          <x14:formula1>
            <xm:f>OFFSET(#REF!,1,,COUNTA(#REF!))</xm:f>
          </x14:formula1>
          <xm:sqref>C72:AG79</xm:sqref>
        </x14:dataValidation>
        <x14:dataValidation type="list" allowBlank="1" showInputMessage="1" showErrorMessage="1" xr:uid="{0DD320DB-84B4-4413-9BC4-A15DFCD01DDE}">
          <x14:formula1>
            <xm:f>OFFSET(#REF!,1,,COUNTA(#REF!))</xm:f>
          </x14:formula1>
          <xm:sqref>B67:B70</xm:sqref>
        </x14:dataValidation>
        <x14:dataValidation type="list" allowBlank="1" showInputMessage="1" xr:uid="{6BD10ADE-565A-4A2E-8C54-01720A95153D}">
          <x14:formula1>
            <xm:f>OFFSET(#REF!,1,,COUNTA(#REF!))</xm:f>
          </x14:formula1>
          <xm:sqref>C5:AG71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AE6"/>
  <sheetViews>
    <sheetView workbookViewId="0">
      <selection activeCell="E24" sqref="E24"/>
    </sheetView>
  </sheetViews>
  <sheetFormatPr baseColWidth="10" defaultColWidth="8.83203125" defaultRowHeight="14"/>
  <cols>
    <col min="1" max="9" width="10.33203125" bestFit="1" customWidth="1"/>
    <col min="10" max="31" width="11.6640625" bestFit="1" customWidth="1"/>
  </cols>
  <sheetData>
    <row r="1" spans="1:31">
      <c r="A1" s="2">
        <v>46054</v>
      </c>
      <c r="B1" s="2">
        <v>46055</v>
      </c>
      <c r="C1" s="2">
        <v>46056</v>
      </c>
      <c r="D1" s="2">
        <v>46057</v>
      </c>
      <c r="E1" s="2">
        <v>46058</v>
      </c>
      <c r="F1" s="2">
        <v>46059</v>
      </c>
      <c r="G1" s="2">
        <v>46060</v>
      </c>
      <c r="H1" s="2">
        <v>46061</v>
      </c>
      <c r="I1" s="2">
        <v>46062</v>
      </c>
      <c r="J1" s="2">
        <v>46063</v>
      </c>
      <c r="K1" s="2">
        <v>46064</v>
      </c>
      <c r="L1" s="2">
        <v>46065</v>
      </c>
      <c r="M1" s="2">
        <v>46066</v>
      </c>
      <c r="N1" s="2">
        <v>46067</v>
      </c>
      <c r="O1" s="2">
        <v>46068</v>
      </c>
      <c r="P1" s="2">
        <v>46069</v>
      </c>
      <c r="Q1" s="2">
        <v>46070</v>
      </c>
      <c r="R1" s="2">
        <v>46071</v>
      </c>
      <c r="S1" s="2">
        <v>46072</v>
      </c>
      <c r="T1" s="2">
        <v>46073</v>
      </c>
      <c r="U1" s="2">
        <v>46074</v>
      </c>
      <c r="V1" s="2">
        <v>46075</v>
      </c>
      <c r="W1" s="2">
        <v>46076</v>
      </c>
      <c r="X1" s="2">
        <v>46077</v>
      </c>
      <c r="Y1" s="2">
        <v>46078</v>
      </c>
      <c r="Z1" s="2">
        <v>46079</v>
      </c>
      <c r="AA1" s="2">
        <v>46080</v>
      </c>
      <c r="AB1" s="2">
        <v>46081</v>
      </c>
      <c r="AC1" s="2">
        <v>46082</v>
      </c>
      <c r="AD1" s="2">
        <v>46083</v>
      </c>
      <c r="AE1" s="23">
        <v>46084</v>
      </c>
    </row>
    <row r="2" spans="1:31">
      <c r="A2" t="s">
        <v>135</v>
      </c>
      <c r="H2" t="s">
        <v>135</v>
      </c>
      <c r="K2" t="s">
        <v>224</v>
      </c>
      <c r="O2" t="s">
        <v>135</v>
      </c>
      <c r="V2" t="s">
        <v>135</v>
      </c>
      <c r="W2" t="s">
        <v>224</v>
      </c>
      <c r="AC2" t="s">
        <v>224</v>
      </c>
      <c r="AE2" s="4"/>
    </row>
    <row r="6" spans="1:31" s="3" customFormat="1"/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最終仕上げシート1</vt:lpstr>
      <vt:lpstr>VBA作業シート</vt:lpstr>
      <vt:lpstr>最終仕上げシート1!Print_Area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EMR</dc:creator>
  <cp:keywords/>
  <dc:description/>
  <cp:lastModifiedBy>Kohei Minowa</cp:lastModifiedBy>
  <cp:revision/>
  <cp:lastPrinted>2025-11-20T07:48:15Z</cp:lastPrinted>
  <dcterms:created xsi:type="dcterms:W3CDTF">2017-06-28T00:05:04Z</dcterms:created>
  <dcterms:modified xsi:type="dcterms:W3CDTF">2026-04-02T01:30:19Z</dcterms:modified>
  <cp:category/>
  <cp:contentStatus/>
</cp:coreProperties>
</file>